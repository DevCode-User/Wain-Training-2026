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C:\Users\agson\Downloads\"/>
    </mc:Choice>
  </mc:AlternateContent>
  <xr:revisionPtr revIDLastSave="0" documentId="8_{9A00828F-203D-4A3C-81F9-92FC211749EF}" xr6:coauthVersionLast="47" xr6:coauthVersionMax="47" xr10:uidLastSave="{00000000-0000-0000-0000-000000000000}"/>
  <workbookProtection workbookPassword="CCE9" lockStructure="1"/>
  <bookViews>
    <workbookView xWindow="-110" yWindow="-110" windowWidth="19420" windowHeight="10300" firstSheet="2" activeTab="2" xr2:uid="{00000000-000D-0000-FFFF-FFFF00000000}"/>
  </bookViews>
  <sheets>
    <sheet name="入力ガイド" sheetId="5" r:id="rId1"/>
    <sheet name="選択リスト一覧" sheetId="4" r:id="rId2"/>
    <sheet name="スキルシート" sheetId="1" r:id="rId3"/>
  </sheets>
  <definedNames>
    <definedName name="ＤＢ・DCリスト">選択リスト一覧!$G$10:$G$28</definedName>
    <definedName name="ＯＳリスト">選択リスト一覧!$E$10:$E$28</definedName>
    <definedName name="OSロスト">選択リスト一覧!#REF!</definedName>
    <definedName name="_xlnm.Print_Area" localSheetId="2">スキルシート!$B$1:$T$43</definedName>
    <definedName name="_xlnm.Print_Titles" localSheetId="2">スキルシート!$19:$23</definedName>
    <definedName name="プロダクトリスト">選択リスト一覧!$H$10:$H$28</definedName>
    <definedName name="機種リスト">選択リスト一覧!$D$10:$D$28</definedName>
    <definedName name="業務範囲">選択リスト一覧!$I$11:$I$12</definedName>
    <definedName name="業務範囲リスト">選択リスト一覧!$B$9:$I$30</definedName>
    <definedName name="言語リスト">選択リスト一覧!$F$10:$F$28</definedName>
    <definedName name="作業工程リスト">選択リスト一覧!#REF!</definedName>
    <definedName name="性別リスト">選択リスト一覧!$B$10:$B$28</definedName>
    <definedName name="役割リスト">選択リスト一覧!$C$10:$C$28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Q4" i="1"/>
  <c r="Q5" i="1" s="1"/>
  <c r="R4" i="1"/>
  <c r="S4" i="1"/>
  <c r="T4" i="1"/>
  <c r="Q6" i="1"/>
  <c r="R6" i="1"/>
  <c r="R7" i="1" s="1"/>
  <c r="D24" i="1"/>
  <c r="C26" i="1" s="1"/>
  <c r="D36" i="1"/>
  <c r="C38" i="1"/>
  <c r="D40" i="1"/>
  <c r="C42" i="1"/>
  <c r="Q7" i="1" l="1"/>
  <c r="R5" i="1"/>
  <c r="T5" i="1"/>
  <c r="S5" i="1"/>
  <c r="T7" i="1"/>
  <c r="S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張　寧一</author>
    <author>zhang ningyi</author>
  </authors>
  <commentList>
    <comment ref="H3" authorId="0" shapeId="0" xr:uid="{00000000-0006-0000-0200-000001000000}">
      <text>
        <r>
          <rPr>
            <b/>
            <sz val="9"/>
            <color indexed="81"/>
            <rFont val="ＭＳ Ｐゴシック"/>
            <family val="3"/>
            <charset val="128"/>
          </rPr>
          <t>張　寧一:</t>
        </r>
        <r>
          <rPr>
            <sz val="9"/>
            <color indexed="81"/>
            <rFont val="ＭＳ Ｐゴシック"/>
            <family val="3"/>
            <charset val="128"/>
          </rPr>
          <t xml:space="preserve">
プライバシー保護のため印字しない。ただし、入力をお願いします。
（表示がありません）</t>
        </r>
      </text>
    </comment>
    <comment ref="P4" authorId="1" shapeId="0" xr:uid="{00000000-0006-0000-0200-000002000000}">
      <text>
        <r>
          <rPr>
            <b/>
            <sz val="9"/>
            <color indexed="81"/>
            <rFont val="ＭＳ Ｐゴシック"/>
            <family val="3"/>
            <charset val="128"/>
          </rPr>
          <t>zhang ningyi:</t>
        </r>
        <r>
          <rPr>
            <sz val="9"/>
            <color indexed="81"/>
            <rFont val="ＭＳ Ｐゴシック"/>
            <family val="3"/>
            <charset val="128"/>
          </rPr>
          <t xml:space="preserve">
年は４桁の数字をご入力ください。
例：2006年の場合
入力：2006
</t>
        </r>
      </text>
    </comment>
    <comment ref="K8" authorId="1" shapeId="0" xr:uid="{00000000-0006-0000-0200-000003000000}">
      <text>
        <r>
          <rPr>
            <b/>
            <sz val="9"/>
            <color indexed="81"/>
            <rFont val="ＭＳ Ｐゴシック"/>
            <family val="3"/>
            <charset val="128"/>
          </rPr>
          <t>zhang ningyi:</t>
        </r>
        <r>
          <rPr>
            <sz val="9"/>
            <color indexed="81"/>
            <rFont val="ＭＳ Ｐゴシック"/>
            <family val="3"/>
            <charset val="128"/>
          </rPr>
          <t xml:space="preserve">
年は４桁の数字をご入力ください。
例：2006年1月の場合
入力：2006/1</t>
        </r>
      </text>
    </comment>
    <comment ref="C24" authorId="0" shapeId="0" xr:uid="{00000000-0006-0000-0200-000004000000}">
      <text>
        <r>
          <rPr>
            <b/>
            <sz val="9"/>
            <color indexed="81"/>
            <rFont val="ＭＳ Ｐゴシック"/>
            <family val="3"/>
            <charset val="128"/>
          </rPr>
          <t>張　寧一:</t>
        </r>
        <r>
          <rPr>
            <sz val="9"/>
            <color indexed="81"/>
            <rFont val="ＭＳ Ｐゴシック"/>
            <family val="3"/>
            <charset val="128"/>
          </rPr>
          <t xml:space="preserve">
年は４桁の数字をご入力ください。
例：2004年１月の場合
</t>
        </r>
        <r>
          <rPr>
            <sz val="9"/>
            <color indexed="10"/>
            <rFont val="ＭＳ Ｐゴシック"/>
            <family val="3"/>
            <charset val="128"/>
          </rPr>
          <t>入力：2004/1</t>
        </r>
      </text>
    </comment>
  </commentList>
</comments>
</file>

<file path=xl/sharedStrings.xml><?xml version="1.0" encoding="utf-8"?>
<sst xmlns="http://schemas.openxmlformats.org/spreadsheetml/2006/main" count="273" uniqueCount="213">
  <si>
    <t>スキルシート・入力ガイド</t>
    <rPh sb="7" eb="9">
      <t>ニュウリョク</t>
    </rPh>
    <phoneticPr fontId="2"/>
  </si>
  <si>
    <t>項番</t>
    <rPh sb="0" eb="1">
      <t>コウ</t>
    </rPh>
    <rPh sb="1" eb="2">
      <t>バン</t>
    </rPh>
    <phoneticPr fontId="2"/>
  </si>
  <si>
    <t>項目</t>
    <rPh sb="0" eb="2">
      <t>コウモク</t>
    </rPh>
    <phoneticPr fontId="2"/>
  </si>
  <si>
    <t>入力形式（注）</t>
    <rPh sb="0" eb="2">
      <t>ニュウリョク</t>
    </rPh>
    <rPh sb="2" eb="4">
      <t>ケイシキ</t>
    </rPh>
    <rPh sb="5" eb="6">
      <t>チュウ</t>
    </rPh>
    <phoneticPr fontId="2"/>
  </si>
  <si>
    <t>入力内容／方法</t>
    <rPh sb="0" eb="2">
      <t>ニュウリョク</t>
    </rPh>
    <rPh sb="2" eb="4">
      <t>ナイヨウ</t>
    </rPh>
    <rPh sb="5" eb="7">
      <t>ホウホウ</t>
    </rPh>
    <phoneticPr fontId="2"/>
  </si>
  <si>
    <t>ﾌﾘｶﾞﾅ</t>
    <phoneticPr fontId="2"/>
  </si>
  <si>
    <t>直接入力</t>
    <rPh sb="0" eb="2">
      <t>チョクセツ</t>
    </rPh>
    <rPh sb="2" eb="4">
      <t>ニュウリョク</t>
    </rPh>
    <phoneticPr fontId="2"/>
  </si>
  <si>
    <t>半角ｶﾀｶﾅで、氏と名の間は半角ｽﾍﾟｰｽ</t>
    <rPh sb="0" eb="2">
      <t>ハンカク</t>
    </rPh>
    <rPh sb="8" eb="9">
      <t>シ</t>
    </rPh>
    <rPh sb="10" eb="11">
      <t>メイ</t>
    </rPh>
    <rPh sb="12" eb="13">
      <t>アイダ</t>
    </rPh>
    <rPh sb="14" eb="16">
      <t>ハンカク</t>
    </rPh>
    <phoneticPr fontId="2"/>
  </si>
  <si>
    <t>名前</t>
    <rPh sb="0" eb="2">
      <t>ナマエ</t>
    </rPh>
    <phoneticPr fontId="2"/>
  </si>
  <si>
    <t>全角で、氏と名の間は全角スペース</t>
    <rPh sb="0" eb="2">
      <t>ゼンカク</t>
    </rPh>
    <rPh sb="4" eb="5">
      <t>シ</t>
    </rPh>
    <rPh sb="6" eb="7">
      <t>メイ</t>
    </rPh>
    <rPh sb="8" eb="9">
      <t>アイダ</t>
    </rPh>
    <rPh sb="10" eb="12">
      <t>ゼンカク</t>
    </rPh>
    <phoneticPr fontId="2"/>
  </si>
  <si>
    <t>性別</t>
    <rPh sb="0" eb="2">
      <t>セイベツ</t>
    </rPh>
    <phoneticPr fontId="2"/>
  </si>
  <si>
    <t>リスト入力</t>
    <rPh sb="3" eb="5">
      <t>ニュウリョク</t>
    </rPh>
    <phoneticPr fontId="2"/>
  </si>
  <si>
    <t>リスト入力（男／女）</t>
    <rPh sb="3" eb="5">
      <t>ニュウリョク</t>
    </rPh>
    <rPh sb="6" eb="7">
      <t>オトコ</t>
    </rPh>
    <rPh sb="8" eb="9">
      <t>オンナ</t>
    </rPh>
    <phoneticPr fontId="2"/>
  </si>
  <si>
    <t>生年月日</t>
    <rPh sb="0" eb="2">
      <t>セイネン</t>
    </rPh>
    <rPh sb="2" eb="4">
      <t>ガッピ</t>
    </rPh>
    <phoneticPr fontId="2"/>
  </si>
  <si>
    <t>西暦にて（yyyy/mm/dd)入力</t>
    <rPh sb="0" eb="2">
      <t>セイレキ</t>
    </rPh>
    <rPh sb="16" eb="18">
      <t>ニュウリョク</t>
    </rPh>
    <phoneticPr fontId="2"/>
  </si>
  <si>
    <t>年齢</t>
    <rPh sb="0" eb="2">
      <t>ネンレイ</t>
    </rPh>
    <phoneticPr fontId="2"/>
  </si>
  <si>
    <t>自動計算</t>
    <rPh sb="0" eb="2">
      <t>ジドウ</t>
    </rPh>
    <rPh sb="2" eb="4">
      <t>ケイサン</t>
    </rPh>
    <phoneticPr fontId="2"/>
  </si>
  <si>
    <t>入力不可：生年月日より自動計算します</t>
    <rPh sb="0" eb="2">
      <t>ニュウリョク</t>
    </rPh>
    <rPh sb="2" eb="4">
      <t>フカ</t>
    </rPh>
    <rPh sb="5" eb="7">
      <t>セイネン</t>
    </rPh>
    <rPh sb="7" eb="9">
      <t>ガッピ</t>
    </rPh>
    <rPh sb="11" eb="13">
      <t>ジドウ</t>
    </rPh>
    <rPh sb="13" eb="15">
      <t>ケイサン</t>
    </rPh>
    <phoneticPr fontId="2"/>
  </si>
  <si>
    <t>最終学歴・出身校</t>
    <rPh sb="0" eb="2">
      <t>サイシュウ</t>
    </rPh>
    <rPh sb="2" eb="4">
      <t>ガクレキ</t>
    </rPh>
    <rPh sb="5" eb="8">
      <t>シュッシンコウ</t>
    </rPh>
    <phoneticPr fontId="2"/>
  </si>
  <si>
    <t>学校名を入力、必要に応じて2件まで入力可</t>
    <rPh sb="0" eb="2">
      <t>ガッコウ</t>
    </rPh>
    <rPh sb="2" eb="3">
      <t>メイ</t>
    </rPh>
    <rPh sb="4" eb="6">
      <t>ニュウリョク</t>
    </rPh>
    <rPh sb="7" eb="9">
      <t>ヒツヨウ</t>
    </rPh>
    <rPh sb="10" eb="11">
      <t>オウ</t>
    </rPh>
    <rPh sb="14" eb="15">
      <t>ケン</t>
    </rPh>
    <rPh sb="17" eb="19">
      <t>ニュウリョク</t>
    </rPh>
    <rPh sb="19" eb="20">
      <t>カ</t>
    </rPh>
    <phoneticPr fontId="2"/>
  </si>
  <si>
    <t>最終学歴・専攻学科</t>
    <rPh sb="0" eb="2">
      <t>サイシュウ</t>
    </rPh>
    <rPh sb="2" eb="4">
      <t>ガクレキ</t>
    </rPh>
    <rPh sb="5" eb="7">
      <t>センコウ</t>
    </rPh>
    <rPh sb="7" eb="9">
      <t>ガッカ</t>
    </rPh>
    <phoneticPr fontId="2"/>
  </si>
  <si>
    <t>専攻学部または専攻学科を入力</t>
    <rPh sb="0" eb="2">
      <t>センコウ</t>
    </rPh>
    <rPh sb="2" eb="4">
      <t>ガクブ</t>
    </rPh>
    <rPh sb="7" eb="9">
      <t>センコウ</t>
    </rPh>
    <rPh sb="9" eb="11">
      <t>ガッカ</t>
    </rPh>
    <rPh sb="12" eb="14">
      <t>ニュウリョク</t>
    </rPh>
    <phoneticPr fontId="2"/>
  </si>
  <si>
    <t>最終学歴・卒業年度</t>
    <rPh sb="0" eb="2">
      <t>サイシュウ</t>
    </rPh>
    <rPh sb="2" eb="4">
      <t>ガクレキ</t>
    </rPh>
    <rPh sb="5" eb="7">
      <t>ソツギョウ</t>
    </rPh>
    <rPh sb="7" eb="9">
      <t>ネンド</t>
    </rPh>
    <phoneticPr fontId="2"/>
  </si>
  <si>
    <t>卒業年を西暦(yyyy)にて入力</t>
    <rPh sb="0" eb="2">
      <t>ソツギョウ</t>
    </rPh>
    <rPh sb="2" eb="3">
      <t>ネン</t>
    </rPh>
    <rPh sb="4" eb="6">
      <t>セイレキ</t>
    </rPh>
    <rPh sb="14" eb="16">
      <t>ニュウリョク</t>
    </rPh>
    <phoneticPr fontId="2"/>
  </si>
  <si>
    <t>資格・資格名</t>
    <rPh sb="0" eb="2">
      <t>シカク</t>
    </rPh>
    <rPh sb="3" eb="5">
      <t>シカク</t>
    </rPh>
    <rPh sb="5" eb="6">
      <t>メイ</t>
    </rPh>
    <phoneticPr fontId="2"/>
  </si>
  <si>
    <t>資格名を入力、必要に応じて４件まで入力可</t>
    <rPh sb="0" eb="2">
      <t>シカク</t>
    </rPh>
    <rPh sb="2" eb="3">
      <t>メイ</t>
    </rPh>
    <rPh sb="4" eb="6">
      <t>ニュウリョク</t>
    </rPh>
    <rPh sb="7" eb="9">
      <t>ヒツヨウ</t>
    </rPh>
    <rPh sb="10" eb="11">
      <t>オウ</t>
    </rPh>
    <rPh sb="14" eb="15">
      <t>ケン</t>
    </rPh>
    <rPh sb="17" eb="19">
      <t>ニュウリョク</t>
    </rPh>
    <rPh sb="19" eb="20">
      <t>カ</t>
    </rPh>
    <phoneticPr fontId="2"/>
  </si>
  <si>
    <t>資格・取得年度</t>
    <rPh sb="0" eb="2">
      <t>シカク</t>
    </rPh>
    <rPh sb="3" eb="5">
      <t>シュトク</t>
    </rPh>
    <rPh sb="5" eb="7">
      <t>ネンド</t>
    </rPh>
    <phoneticPr fontId="2"/>
  </si>
  <si>
    <t>資格取得の年度を西暦（yyyy)にて入力</t>
    <rPh sb="0" eb="2">
      <t>シカク</t>
    </rPh>
    <rPh sb="2" eb="4">
      <t>シュトク</t>
    </rPh>
    <rPh sb="5" eb="7">
      <t>ネンド</t>
    </rPh>
    <rPh sb="8" eb="10">
      <t>セイレキ</t>
    </rPh>
    <rPh sb="18" eb="20">
      <t>ニュウリョク</t>
    </rPh>
    <phoneticPr fontId="2"/>
  </si>
  <si>
    <t>最寄駅・路線名</t>
    <rPh sb="0" eb="2">
      <t>モヨリ</t>
    </rPh>
    <rPh sb="2" eb="3">
      <t>エキ</t>
    </rPh>
    <rPh sb="4" eb="6">
      <t>ロセン</t>
    </rPh>
    <rPh sb="6" eb="7">
      <t>メイ</t>
    </rPh>
    <phoneticPr fontId="2"/>
  </si>
  <si>
    <t>最寄の駅の使用路線を入力</t>
    <rPh sb="0" eb="2">
      <t>モヨリ</t>
    </rPh>
    <rPh sb="3" eb="4">
      <t>エキ</t>
    </rPh>
    <rPh sb="5" eb="7">
      <t>シヨウ</t>
    </rPh>
    <rPh sb="7" eb="9">
      <t>ロセン</t>
    </rPh>
    <rPh sb="10" eb="12">
      <t>ニュウリョク</t>
    </rPh>
    <phoneticPr fontId="2"/>
  </si>
  <si>
    <t>最寄駅・駅名</t>
    <rPh sb="0" eb="2">
      <t>モヨリ</t>
    </rPh>
    <rPh sb="2" eb="3">
      <t>エキ</t>
    </rPh>
    <rPh sb="4" eb="6">
      <t>エキメイ</t>
    </rPh>
    <phoneticPr fontId="2"/>
  </si>
  <si>
    <t>最寄の駅の駅名を入力</t>
    <rPh sb="0" eb="2">
      <t>モヨリ</t>
    </rPh>
    <rPh sb="3" eb="4">
      <t>エキ</t>
    </rPh>
    <rPh sb="5" eb="7">
      <t>エキメイ</t>
    </rPh>
    <rPh sb="8" eb="10">
      <t>ニュウリョク</t>
    </rPh>
    <phoneticPr fontId="2"/>
  </si>
  <si>
    <t>経験年数</t>
    <rPh sb="0" eb="2">
      <t>ケイケン</t>
    </rPh>
    <rPh sb="2" eb="4">
      <t>ネンスウ</t>
    </rPh>
    <phoneticPr fontId="2"/>
  </si>
  <si>
    <t>入力不可：［役割］に対応した経験年数を自動集計する
計算は、期間の（自）と（到）が年月(yyyy/mm)のため、差異の月数より求めるが、（自）は月初、（到）は月末として算出する
　例）期間（自）2002/05～（到）2002/05・・・１ヶ月
また、期間が重複する（同時期に複数ﾌﾟﾛｼﾞｪｸﾄに参画）場合は、それぞれに集計されます。
　例）期間（自）2002/05～（到）2002/06・・・２ヶ月
　　　 期間（自）2002/06～（到）2002/07・・・２ヶ月
　　　　それぞれ２ヶ月づつ、計４ヶ月として集計されます。</t>
    <rPh sb="0" eb="2">
      <t>ニュウリョク</t>
    </rPh>
    <rPh sb="2" eb="4">
      <t>フカ</t>
    </rPh>
    <rPh sb="6" eb="8">
      <t>ヤクワリ</t>
    </rPh>
    <rPh sb="10" eb="12">
      <t>タイオウ</t>
    </rPh>
    <rPh sb="14" eb="16">
      <t>ケイケン</t>
    </rPh>
    <rPh sb="16" eb="18">
      <t>ネンスウ</t>
    </rPh>
    <rPh sb="19" eb="21">
      <t>ジドウ</t>
    </rPh>
    <rPh sb="21" eb="23">
      <t>シュウケイ</t>
    </rPh>
    <rPh sb="26" eb="28">
      <t>ケイサン</t>
    </rPh>
    <rPh sb="30" eb="32">
      <t>キカン</t>
    </rPh>
    <rPh sb="34" eb="35">
      <t>ジ</t>
    </rPh>
    <rPh sb="38" eb="39">
      <t>イタ</t>
    </rPh>
    <rPh sb="41" eb="43">
      <t>ネンゲツ</t>
    </rPh>
    <rPh sb="56" eb="58">
      <t>サイ</t>
    </rPh>
    <rPh sb="59" eb="61">
      <t>ツキスウ</t>
    </rPh>
    <rPh sb="63" eb="64">
      <t>モト</t>
    </rPh>
    <rPh sb="69" eb="70">
      <t>ジ</t>
    </rPh>
    <rPh sb="72" eb="74">
      <t>ゲッショ</t>
    </rPh>
    <rPh sb="76" eb="77">
      <t>イタ</t>
    </rPh>
    <rPh sb="79" eb="81">
      <t>ゲツマツ</t>
    </rPh>
    <rPh sb="84" eb="86">
      <t>サンシュツ</t>
    </rPh>
    <rPh sb="90" eb="91">
      <t>レイ</t>
    </rPh>
    <rPh sb="92" eb="94">
      <t>キカン</t>
    </rPh>
    <rPh sb="95" eb="96">
      <t>ジ</t>
    </rPh>
    <rPh sb="106" eb="107">
      <t>イタ</t>
    </rPh>
    <rPh sb="120" eb="121">
      <t>ゲツ</t>
    </rPh>
    <rPh sb="125" eb="127">
      <t>キカン</t>
    </rPh>
    <rPh sb="128" eb="130">
      <t>ジュウフク</t>
    </rPh>
    <rPh sb="133" eb="135">
      <t>ドウジ</t>
    </rPh>
    <rPh sb="135" eb="136">
      <t>キ</t>
    </rPh>
    <rPh sb="137" eb="139">
      <t>フクスウ</t>
    </rPh>
    <rPh sb="148" eb="150">
      <t>サンカク</t>
    </rPh>
    <rPh sb="151" eb="153">
      <t>バアイ</t>
    </rPh>
    <rPh sb="160" eb="162">
      <t>シュウケイ</t>
    </rPh>
    <rPh sb="245" eb="246">
      <t>ゲツ</t>
    </rPh>
    <rPh sb="249" eb="250">
      <t>ケイ</t>
    </rPh>
    <rPh sb="252" eb="253">
      <t>ゲツ</t>
    </rPh>
    <rPh sb="256" eb="258">
      <t>シュウケイ</t>
    </rPh>
    <phoneticPr fontId="2"/>
  </si>
  <si>
    <t>経験・機種／ＯＳ，
       言語，DB／ＤＣ</t>
    <rPh sb="0" eb="2">
      <t>ケイケン</t>
    </rPh>
    <rPh sb="3" eb="5">
      <t>キシュ</t>
    </rPh>
    <rPh sb="17" eb="19">
      <t>ゲンゴ</t>
    </rPh>
    <phoneticPr fontId="2"/>
  </si>
  <si>
    <t>経験のある［機種／ＯＳ］、［言語］、［ＤＢ／ＤＣ］をそれぞれ入力する
複数ある場合はカンマで区切る</t>
    <rPh sb="0" eb="2">
      <t>ケイケン</t>
    </rPh>
    <rPh sb="6" eb="8">
      <t>キシュ</t>
    </rPh>
    <rPh sb="14" eb="16">
      <t>ゲンゴ</t>
    </rPh>
    <rPh sb="30" eb="32">
      <t>ニュウリョク</t>
    </rPh>
    <rPh sb="35" eb="37">
      <t>フクスウ</t>
    </rPh>
    <rPh sb="39" eb="41">
      <t>バアイ</t>
    </rPh>
    <rPh sb="46" eb="48">
      <t>クギ</t>
    </rPh>
    <phoneticPr fontId="2"/>
  </si>
  <si>
    <t>期間（自）</t>
    <rPh sb="0" eb="2">
      <t>キカン</t>
    </rPh>
    <rPh sb="3" eb="4">
      <t>ジ</t>
    </rPh>
    <phoneticPr fontId="2"/>
  </si>
  <si>
    <t>プロジェクト開始年月を(yyyy/mm)にて入力</t>
    <rPh sb="6" eb="8">
      <t>カイシ</t>
    </rPh>
    <rPh sb="8" eb="10">
      <t>ネンゲツ</t>
    </rPh>
    <rPh sb="22" eb="24">
      <t>ニュウリョク</t>
    </rPh>
    <phoneticPr fontId="2"/>
  </si>
  <si>
    <t>期間（至）</t>
    <rPh sb="0" eb="2">
      <t>キカン</t>
    </rPh>
    <rPh sb="3" eb="4">
      <t>イタ</t>
    </rPh>
    <phoneticPr fontId="2"/>
  </si>
  <si>
    <t>プロジェクト終了年月を(yyyy/mm)にて入力</t>
    <rPh sb="6" eb="8">
      <t>シュウリョウ</t>
    </rPh>
    <rPh sb="8" eb="10">
      <t>ネンゲツ</t>
    </rPh>
    <rPh sb="22" eb="24">
      <t>ニュウリョク</t>
    </rPh>
    <phoneticPr fontId="2"/>
  </si>
  <si>
    <t>年月数</t>
    <rPh sb="0" eb="2">
      <t>ネンゲツ</t>
    </rPh>
    <rPh sb="2" eb="3">
      <t>スウ</t>
    </rPh>
    <phoneticPr fontId="2"/>
  </si>
  <si>
    <t>入力不可：期間（自）から期間（至）より自動計算する</t>
    <rPh sb="0" eb="2">
      <t>ニュウリョク</t>
    </rPh>
    <rPh sb="2" eb="4">
      <t>フカ</t>
    </rPh>
    <rPh sb="5" eb="7">
      <t>キカン</t>
    </rPh>
    <rPh sb="8" eb="9">
      <t>ジ</t>
    </rPh>
    <rPh sb="12" eb="14">
      <t>キカン</t>
    </rPh>
    <rPh sb="15" eb="16">
      <t>イタ</t>
    </rPh>
    <rPh sb="19" eb="21">
      <t>ジドウ</t>
    </rPh>
    <rPh sb="21" eb="23">
      <t>ケイサン</t>
    </rPh>
    <phoneticPr fontId="2"/>
  </si>
  <si>
    <t>作業工程</t>
    <rPh sb="0" eb="2">
      <t>サギョウ</t>
    </rPh>
    <rPh sb="2" eb="4">
      <t>コウテイ</t>
    </rPh>
    <phoneticPr fontId="2"/>
  </si>
  <si>
    <t>作業工程を対応する番号で入力する
　1:調査分析・要件定義
　2:基本（外部）設計
　3:詳細（内部）設計
　4:CD・UT
　5:IT・ST
　6:運用・保守・移行
　7:その他
範囲で入力する場合は、n～m
　例）基本設計からSTまで作業：2～5
個別に複数入力する場合は、カンマで区切る
　例）基本設計と運用・保守：2,6</t>
    <rPh sb="0" eb="2">
      <t>サギョウ</t>
    </rPh>
    <rPh sb="2" eb="4">
      <t>コウテイ</t>
    </rPh>
    <rPh sb="5" eb="7">
      <t>タイオウ</t>
    </rPh>
    <rPh sb="9" eb="11">
      <t>バンゴウ</t>
    </rPh>
    <rPh sb="12" eb="14">
      <t>ニュウリョク</t>
    </rPh>
    <rPh sb="20" eb="22">
      <t>チョウサ</t>
    </rPh>
    <rPh sb="22" eb="24">
      <t>ブンセキ</t>
    </rPh>
    <rPh sb="25" eb="27">
      <t>ヨウケン</t>
    </rPh>
    <rPh sb="27" eb="29">
      <t>テイギ</t>
    </rPh>
    <rPh sb="33" eb="35">
      <t>キホン</t>
    </rPh>
    <rPh sb="36" eb="38">
      <t>ガイブ</t>
    </rPh>
    <rPh sb="39" eb="41">
      <t>セッケイ</t>
    </rPh>
    <rPh sb="45" eb="47">
      <t>ショウサイ</t>
    </rPh>
    <rPh sb="48" eb="50">
      <t>ナイブ</t>
    </rPh>
    <rPh sb="51" eb="53">
      <t>セッケイ</t>
    </rPh>
    <rPh sb="75" eb="77">
      <t>ウンヨウ</t>
    </rPh>
    <rPh sb="78" eb="80">
      <t>ホシュ</t>
    </rPh>
    <rPh sb="81" eb="83">
      <t>イコウ</t>
    </rPh>
    <rPh sb="89" eb="90">
      <t>タ</t>
    </rPh>
    <rPh sb="91" eb="93">
      <t>ハンイ</t>
    </rPh>
    <rPh sb="94" eb="96">
      <t>ニュウリョク</t>
    </rPh>
    <rPh sb="98" eb="100">
      <t>バアイ</t>
    </rPh>
    <rPh sb="107" eb="108">
      <t>レイ</t>
    </rPh>
    <rPh sb="109" eb="111">
      <t>キホン</t>
    </rPh>
    <rPh sb="111" eb="113">
      <t>セッケイ</t>
    </rPh>
    <rPh sb="119" eb="121">
      <t>サギョウ</t>
    </rPh>
    <rPh sb="126" eb="128">
      <t>コベツ</t>
    </rPh>
    <rPh sb="129" eb="131">
      <t>フクスウ</t>
    </rPh>
    <rPh sb="131" eb="133">
      <t>ニュウリョク</t>
    </rPh>
    <rPh sb="135" eb="137">
      <t>バアイ</t>
    </rPh>
    <rPh sb="143" eb="145">
      <t>クギ</t>
    </rPh>
    <rPh sb="148" eb="149">
      <t>レイ</t>
    </rPh>
    <rPh sb="150" eb="152">
      <t>キホン</t>
    </rPh>
    <rPh sb="152" eb="154">
      <t>セッケイ</t>
    </rPh>
    <rPh sb="155" eb="157">
      <t>ウンヨウ</t>
    </rPh>
    <rPh sb="158" eb="160">
      <t>ホシュ</t>
    </rPh>
    <phoneticPr fontId="2"/>
  </si>
  <si>
    <t>業務・顧客分野</t>
    <rPh sb="0" eb="2">
      <t>ギョウム</t>
    </rPh>
    <rPh sb="3" eb="5">
      <t>コキャク</t>
    </rPh>
    <rPh sb="5" eb="7">
      <t>ブンヤ</t>
    </rPh>
    <phoneticPr fontId="2"/>
  </si>
  <si>
    <t>顧客への提出を考慮し、直接顧客名を記述せず、総称する業務分野名を記述する
例）三和銀行=&gt;都市銀行，銀行，金融機関
　　常陽銀行＝＞地方銀行，銀行，金融機関
　　ＮＨＫ＝＞放送局
　　やまと運輸＝＞運送業</t>
    <rPh sb="0" eb="2">
      <t>コキャク</t>
    </rPh>
    <rPh sb="4" eb="6">
      <t>テイシュツ</t>
    </rPh>
    <rPh sb="7" eb="9">
      <t>コウリョ</t>
    </rPh>
    <rPh sb="11" eb="13">
      <t>チョクセツ</t>
    </rPh>
    <rPh sb="13" eb="15">
      <t>コキャク</t>
    </rPh>
    <rPh sb="15" eb="16">
      <t>メイ</t>
    </rPh>
    <rPh sb="17" eb="19">
      <t>キジュツ</t>
    </rPh>
    <rPh sb="22" eb="24">
      <t>ソウショウ</t>
    </rPh>
    <rPh sb="26" eb="28">
      <t>ギョウム</t>
    </rPh>
    <rPh sb="28" eb="30">
      <t>ブンヤ</t>
    </rPh>
    <rPh sb="30" eb="31">
      <t>メイ</t>
    </rPh>
    <rPh sb="32" eb="34">
      <t>キジュツ</t>
    </rPh>
    <rPh sb="37" eb="38">
      <t>レイ</t>
    </rPh>
    <rPh sb="39" eb="41">
      <t>サンワ</t>
    </rPh>
    <rPh sb="41" eb="43">
      <t>ギンコウ</t>
    </rPh>
    <rPh sb="45" eb="47">
      <t>トシ</t>
    </rPh>
    <rPh sb="47" eb="49">
      <t>ギンコウ</t>
    </rPh>
    <rPh sb="50" eb="52">
      <t>ギンコウ</t>
    </rPh>
    <rPh sb="53" eb="55">
      <t>キンユウ</t>
    </rPh>
    <rPh sb="55" eb="57">
      <t>キカン</t>
    </rPh>
    <rPh sb="60" eb="62">
      <t>ジョウヨウ</t>
    </rPh>
    <rPh sb="62" eb="64">
      <t>ギンコウ</t>
    </rPh>
    <rPh sb="66" eb="68">
      <t>チホウ</t>
    </rPh>
    <rPh sb="68" eb="70">
      <t>ギンコウ</t>
    </rPh>
    <rPh sb="71" eb="73">
      <t>ギンコウ</t>
    </rPh>
    <rPh sb="74" eb="76">
      <t>キンユウ</t>
    </rPh>
    <rPh sb="76" eb="78">
      <t>キカン</t>
    </rPh>
    <rPh sb="86" eb="89">
      <t>ホウソウキョク</t>
    </rPh>
    <rPh sb="95" eb="97">
      <t>ウンユ</t>
    </rPh>
    <rPh sb="99" eb="102">
      <t>ウンソウギョウ</t>
    </rPh>
    <phoneticPr fontId="2"/>
  </si>
  <si>
    <t>業務内容</t>
    <rPh sb="0" eb="2">
      <t>ギョウム</t>
    </rPh>
    <rPh sb="2" eb="4">
      <t>ナイヨウ</t>
    </rPh>
    <phoneticPr fontId="2"/>
  </si>
  <si>
    <t>業務内容を記述する
３行まで入力可で、できるだけ詳細も記述</t>
    <rPh sb="0" eb="2">
      <t>ギョウム</t>
    </rPh>
    <rPh sb="2" eb="4">
      <t>ナイヨウ</t>
    </rPh>
    <rPh sb="5" eb="7">
      <t>キジュツ</t>
    </rPh>
    <rPh sb="11" eb="12">
      <t>ギョウ</t>
    </rPh>
    <rPh sb="14" eb="16">
      <t>ニュウリョク</t>
    </rPh>
    <rPh sb="16" eb="17">
      <t>カノウ</t>
    </rPh>
    <rPh sb="24" eb="26">
      <t>ショウサイ</t>
    </rPh>
    <rPh sb="27" eb="29">
      <t>キジュツ</t>
    </rPh>
    <phoneticPr fontId="2"/>
  </si>
  <si>
    <t>役割</t>
    <rPh sb="0" eb="2">
      <t>ヤクワリ</t>
    </rPh>
    <phoneticPr fontId="2"/>
  </si>
  <si>
    <t>ﾌﾟﾛｼﾞｪｸﾄでの役割をﾄﾞﾛｯﾌﾟﾀﾞｳﾝ･ﾘｽﾄより選択する
該当する項目がない場合は、ﾜｰｸｼｰﾄに追加して対応する（直接入力も可能）
既存内容（PM～PG）は、経験年数集計で使用のため、変更不可</t>
    <rPh sb="10" eb="12">
      <t>ヤクワリ</t>
    </rPh>
    <rPh sb="29" eb="31">
      <t>センタク</t>
    </rPh>
    <rPh sb="34" eb="36">
      <t>ガイトウ</t>
    </rPh>
    <rPh sb="38" eb="40">
      <t>コウモク</t>
    </rPh>
    <rPh sb="43" eb="45">
      <t>バアイ</t>
    </rPh>
    <rPh sb="54" eb="56">
      <t>ツイカ</t>
    </rPh>
    <rPh sb="58" eb="60">
      <t>タイオウ</t>
    </rPh>
    <rPh sb="63" eb="65">
      <t>チョクセツ</t>
    </rPh>
    <rPh sb="65" eb="67">
      <t>ニュウリョク</t>
    </rPh>
    <rPh sb="68" eb="70">
      <t>カノウ</t>
    </rPh>
    <rPh sb="72" eb="74">
      <t>キゾン</t>
    </rPh>
    <rPh sb="74" eb="76">
      <t>ナイヨウ</t>
    </rPh>
    <rPh sb="85" eb="87">
      <t>ケイケン</t>
    </rPh>
    <rPh sb="87" eb="89">
      <t>ネンスウ</t>
    </rPh>
    <rPh sb="89" eb="91">
      <t>シュウケイ</t>
    </rPh>
    <rPh sb="92" eb="94">
      <t>シヨウ</t>
    </rPh>
    <rPh sb="98" eb="100">
      <t>ヘンコウ</t>
    </rPh>
    <rPh sb="100" eb="102">
      <t>フカ</t>
    </rPh>
    <phoneticPr fontId="2"/>
  </si>
  <si>
    <t>ﾒﾝﾊﾞｰ数</t>
    <rPh sb="5" eb="6">
      <t>スウ</t>
    </rPh>
    <phoneticPr fontId="2"/>
  </si>
  <si>
    <t>上記［役割］が、ＰＭ，ＰＬ，ＳＬの場合の、管理対象メンバー数を記述する
途中でﾒﾝﾊﾞｰ数が変わったような場合は、必要に応じて説明時に補足する</t>
    <rPh sb="0" eb="2">
      <t>ジョウキ</t>
    </rPh>
    <rPh sb="3" eb="5">
      <t>ヤクワリ</t>
    </rPh>
    <rPh sb="17" eb="19">
      <t>バアイ</t>
    </rPh>
    <rPh sb="21" eb="23">
      <t>カンリ</t>
    </rPh>
    <rPh sb="23" eb="25">
      <t>タイショウ</t>
    </rPh>
    <rPh sb="29" eb="30">
      <t>スウ</t>
    </rPh>
    <rPh sb="31" eb="33">
      <t>キジュツ</t>
    </rPh>
    <rPh sb="36" eb="38">
      <t>トチュウ</t>
    </rPh>
    <rPh sb="44" eb="45">
      <t>スウ</t>
    </rPh>
    <rPh sb="46" eb="47">
      <t>カ</t>
    </rPh>
    <rPh sb="53" eb="55">
      <t>バアイ</t>
    </rPh>
    <rPh sb="57" eb="59">
      <t>ヒツヨウ</t>
    </rPh>
    <rPh sb="60" eb="61">
      <t>オウ</t>
    </rPh>
    <rPh sb="63" eb="65">
      <t>セツメイ</t>
    </rPh>
    <rPh sb="65" eb="66">
      <t>ジ</t>
    </rPh>
    <rPh sb="67" eb="69">
      <t>ホソク</t>
    </rPh>
    <phoneticPr fontId="2"/>
  </si>
  <si>
    <t>機種／ＯＳ</t>
    <rPh sb="0" eb="2">
      <t>キシュ</t>
    </rPh>
    <phoneticPr fontId="2"/>
  </si>
  <si>
    <t>機種とＯＳを交互にﾄﾞﾛｯﾌﾟﾀﾞｳﾝ･ﾘｽﾄより選択する
該当する項目がない場合は、ﾜｰｸｼｰﾄに追加・修正して対応する（直接入力も可能）
機種とＯＳを対で２つまで入力可
また、開発機と実機が異なるような場合は、開発機を上段、実機を下段に入力する</t>
    <rPh sb="0" eb="2">
      <t>キシュ</t>
    </rPh>
    <rPh sb="6" eb="8">
      <t>コウゴ</t>
    </rPh>
    <rPh sb="25" eb="27">
      <t>センタク</t>
    </rPh>
    <rPh sb="30" eb="32">
      <t>ガイトウ</t>
    </rPh>
    <rPh sb="34" eb="36">
      <t>コウモク</t>
    </rPh>
    <rPh sb="39" eb="41">
      <t>バアイ</t>
    </rPh>
    <rPh sb="50" eb="52">
      <t>ツイカ</t>
    </rPh>
    <rPh sb="53" eb="55">
      <t>シュウセイ</t>
    </rPh>
    <rPh sb="57" eb="59">
      <t>タイオウ</t>
    </rPh>
    <rPh sb="71" eb="73">
      <t>キシュ</t>
    </rPh>
    <rPh sb="77" eb="78">
      <t>ツイ</t>
    </rPh>
    <rPh sb="83" eb="85">
      <t>ニュウリョク</t>
    </rPh>
    <rPh sb="85" eb="86">
      <t>カ</t>
    </rPh>
    <rPh sb="90" eb="92">
      <t>カイハツ</t>
    </rPh>
    <rPh sb="92" eb="93">
      <t>キシュ</t>
    </rPh>
    <rPh sb="94" eb="96">
      <t>ジッキ</t>
    </rPh>
    <rPh sb="97" eb="98">
      <t>コト</t>
    </rPh>
    <rPh sb="103" eb="105">
      <t>バアイ</t>
    </rPh>
    <rPh sb="107" eb="109">
      <t>カイハツ</t>
    </rPh>
    <rPh sb="109" eb="110">
      <t>キ</t>
    </rPh>
    <rPh sb="111" eb="113">
      <t>ジョウダン</t>
    </rPh>
    <rPh sb="114" eb="116">
      <t>ジッキ</t>
    </rPh>
    <rPh sb="117" eb="119">
      <t>ゲダン</t>
    </rPh>
    <rPh sb="120" eb="122">
      <t>ニュウリョク</t>
    </rPh>
    <phoneticPr fontId="2"/>
  </si>
  <si>
    <t>言語</t>
    <rPh sb="0" eb="2">
      <t>ゲンゴ</t>
    </rPh>
    <phoneticPr fontId="2"/>
  </si>
  <si>
    <t>言語をﾄﾞﾛｯﾌﾟﾀﾞｳﾝ･ﾘｽﾄより選択する
該当する項目がない場合は、ﾜｰｸｼｰﾄに追加・修正して対応する（直接入力も可能）
２つまで入力可</t>
    <rPh sb="0" eb="2">
      <t>ゲンゴ</t>
    </rPh>
    <rPh sb="19" eb="21">
      <t>センタク</t>
    </rPh>
    <rPh sb="24" eb="26">
      <t>ガイトウ</t>
    </rPh>
    <rPh sb="28" eb="30">
      <t>コウモク</t>
    </rPh>
    <rPh sb="33" eb="35">
      <t>バアイ</t>
    </rPh>
    <rPh sb="44" eb="46">
      <t>ツイカ</t>
    </rPh>
    <rPh sb="47" eb="49">
      <t>シュウセイ</t>
    </rPh>
    <rPh sb="51" eb="53">
      <t>タイオウ</t>
    </rPh>
    <rPh sb="69" eb="71">
      <t>ニュウリョク</t>
    </rPh>
    <rPh sb="71" eb="72">
      <t>カ</t>
    </rPh>
    <phoneticPr fontId="2"/>
  </si>
  <si>
    <t>ＤＢ／ＤＣ</t>
    <phoneticPr fontId="2"/>
  </si>
  <si>
    <t>ＤＢ／ＤＣをﾄﾞﾛｯﾌﾟﾀﾞｳﾝ･ﾘｽﾄより選択する
該当する項目がない場合は、ﾜｰｸｼｰﾄに追加・修正して対応する（直接入力も可能）
２つまで入力可</t>
    <rPh sb="22" eb="24">
      <t>センタク</t>
    </rPh>
    <rPh sb="27" eb="29">
      <t>ガイトウ</t>
    </rPh>
    <rPh sb="31" eb="33">
      <t>コウモク</t>
    </rPh>
    <rPh sb="36" eb="38">
      <t>バアイ</t>
    </rPh>
    <rPh sb="47" eb="49">
      <t>ツイカ</t>
    </rPh>
    <rPh sb="50" eb="52">
      <t>シュウセイ</t>
    </rPh>
    <rPh sb="54" eb="56">
      <t>タイオウ</t>
    </rPh>
    <rPh sb="72" eb="74">
      <t>ニュウリョク</t>
    </rPh>
    <rPh sb="74" eb="75">
      <t>カ</t>
    </rPh>
    <phoneticPr fontId="2"/>
  </si>
  <si>
    <t>プロダクト</t>
    <phoneticPr fontId="2"/>
  </si>
  <si>
    <t>プロダクトをﾄﾞﾛｯﾌﾟﾀﾞｳﾝ･ﾘｽﾄより選択する
該当する項目がない場合は、ﾜｰｸｼｰﾄに追加・修正して対応する（直接入力も可能）
２つまで入力可</t>
    <rPh sb="22" eb="24">
      <t>センタク</t>
    </rPh>
    <rPh sb="27" eb="29">
      <t>ガイトウ</t>
    </rPh>
    <rPh sb="31" eb="33">
      <t>コウモク</t>
    </rPh>
    <rPh sb="36" eb="38">
      <t>バアイ</t>
    </rPh>
    <rPh sb="47" eb="49">
      <t>ツイカ</t>
    </rPh>
    <rPh sb="50" eb="52">
      <t>シュウセイ</t>
    </rPh>
    <rPh sb="54" eb="56">
      <t>タイオウ</t>
    </rPh>
    <rPh sb="72" eb="74">
      <t>ニュウリョク</t>
    </rPh>
    <rPh sb="74" eb="75">
      <t>カ</t>
    </rPh>
    <phoneticPr fontId="2"/>
  </si>
  <si>
    <t>（注）</t>
    <rPh sb="1" eb="2">
      <t>チュウ</t>
    </rPh>
    <phoneticPr fontId="2"/>
  </si>
  <si>
    <t>直接文字列、日付等を入力する</t>
    <rPh sb="0" eb="2">
      <t>チョクセツ</t>
    </rPh>
    <rPh sb="2" eb="5">
      <t>モジレツ</t>
    </rPh>
    <rPh sb="6" eb="8">
      <t>ヒヅケ</t>
    </rPh>
    <rPh sb="8" eb="9">
      <t>トウ</t>
    </rPh>
    <rPh sb="10" eb="12">
      <t>ニュウリョク</t>
    </rPh>
    <phoneticPr fontId="2"/>
  </si>
  <si>
    <t>ﾄﾞﾛｯﾌﾟﾀﾞｳﾝ･ﾘｽﾄ形式により選択入力する、該当項目がない場合は［選択リスト一覧］の該当項目に追加・修正する（直接入力も可能）</t>
    <rPh sb="14" eb="16">
      <t>ケイシキ</t>
    </rPh>
    <rPh sb="19" eb="21">
      <t>センタク</t>
    </rPh>
    <rPh sb="21" eb="23">
      <t>ニュウリョク</t>
    </rPh>
    <rPh sb="26" eb="28">
      <t>ガイトウ</t>
    </rPh>
    <rPh sb="28" eb="30">
      <t>コウモク</t>
    </rPh>
    <rPh sb="33" eb="35">
      <t>バアイ</t>
    </rPh>
    <rPh sb="37" eb="39">
      <t>センタク</t>
    </rPh>
    <rPh sb="42" eb="44">
      <t>イチラン</t>
    </rPh>
    <rPh sb="46" eb="48">
      <t>ガイトウ</t>
    </rPh>
    <rPh sb="48" eb="50">
      <t>コウモク</t>
    </rPh>
    <rPh sb="51" eb="53">
      <t>ツイカ</t>
    </rPh>
    <rPh sb="54" eb="56">
      <t>シュウセイ</t>
    </rPh>
    <rPh sb="59" eb="61">
      <t>チョクセツ</t>
    </rPh>
    <rPh sb="61" eb="63">
      <t>ニュウリョク</t>
    </rPh>
    <rPh sb="64" eb="66">
      <t>カノウ</t>
    </rPh>
    <phoneticPr fontId="2"/>
  </si>
  <si>
    <t>自動的に計算するため、入力不可</t>
    <rPh sb="0" eb="3">
      <t>ジドウテキ</t>
    </rPh>
    <rPh sb="4" eb="6">
      <t>ケイサン</t>
    </rPh>
    <rPh sb="11" eb="13">
      <t>ニュウリョク</t>
    </rPh>
    <rPh sb="13" eb="15">
      <t>フカ</t>
    </rPh>
    <phoneticPr fontId="2"/>
  </si>
  <si>
    <t>※</t>
    <phoneticPr fontId="2"/>
  </si>
  <si>
    <t>業務経歴欄が不足した場合、コピーして追加してください</t>
    <rPh sb="0" eb="2">
      <t>ギョウム</t>
    </rPh>
    <rPh sb="2" eb="4">
      <t>ケイレキ</t>
    </rPh>
    <rPh sb="4" eb="5">
      <t>ラン</t>
    </rPh>
    <rPh sb="6" eb="8">
      <t>フソク</t>
    </rPh>
    <rPh sb="10" eb="12">
      <t>バアイ</t>
    </rPh>
    <rPh sb="18" eb="20">
      <t>ツイカ</t>
    </rPh>
    <phoneticPr fontId="2"/>
  </si>
  <si>
    <t>業務経歴欄には計算式が入っているセルがあるので、注意してください</t>
    <rPh sb="0" eb="2">
      <t>ギョウム</t>
    </rPh>
    <rPh sb="2" eb="4">
      <t>ケイレキ</t>
    </rPh>
    <rPh sb="4" eb="5">
      <t>ラン</t>
    </rPh>
    <rPh sb="7" eb="9">
      <t>ケイサン</t>
    </rPh>
    <rPh sb="9" eb="10">
      <t>シキ</t>
    </rPh>
    <rPh sb="11" eb="12">
      <t>ハイ</t>
    </rPh>
    <rPh sb="24" eb="26">
      <t>チュウイ</t>
    </rPh>
    <phoneticPr fontId="2"/>
  </si>
  <si>
    <t>業務経歴欄の行を増やしたり、削除したりしないでください</t>
    <rPh sb="0" eb="2">
      <t>ギョウム</t>
    </rPh>
    <rPh sb="2" eb="4">
      <t>ケイレキ</t>
    </rPh>
    <rPh sb="4" eb="5">
      <t>ラン</t>
    </rPh>
    <rPh sb="6" eb="7">
      <t>ギョウ</t>
    </rPh>
    <rPh sb="8" eb="9">
      <t>フ</t>
    </rPh>
    <rPh sb="14" eb="16">
      <t>サクジョ</t>
    </rPh>
    <phoneticPr fontId="2"/>
  </si>
  <si>
    <t>選択リスト一覧</t>
    <rPh sb="0" eb="2">
      <t>センタク</t>
    </rPh>
    <rPh sb="5" eb="7">
      <t>イチラン</t>
    </rPh>
    <phoneticPr fontId="2"/>
  </si>
  <si>
    <t>スキルシート入力時の選択リストとして使用する。</t>
    <rPh sb="6" eb="8">
      <t>ニュウリョク</t>
    </rPh>
    <rPh sb="8" eb="9">
      <t>ジ</t>
    </rPh>
    <rPh sb="10" eb="12">
      <t>センタク</t>
    </rPh>
    <rPh sb="18" eb="20">
      <t>シヨウ</t>
    </rPh>
    <phoneticPr fontId="2"/>
  </si>
  <si>
    <t>該当する項目がない場合は、追加、修正して使用する。</t>
  </si>
  <si>
    <t>但し、［役割］については、それぞれの経験年数集計を行っているため、追加は可とするが、</t>
    <rPh sb="0" eb="1">
      <t>タダ</t>
    </rPh>
    <rPh sb="4" eb="6">
      <t>ヤクワリ</t>
    </rPh>
    <rPh sb="18" eb="20">
      <t>ケイケン</t>
    </rPh>
    <rPh sb="20" eb="22">
      <t>ネンスウ</t>
    </rPh>
    <rPh sb="22" eb="24">
      <t>シュウケイ</t>
    </rPh>
    <rPh sb="25" eb="26">
      <t>オコナ</t>
    </rPh>
    <rPh sb="33" eb="35">
      <t>ツイカ</t>
    </rPh>
    <rPh sb="36" eb="37">
      <t>カ</t>
    </rPh>
    <phoneticPr fontId="2"/>
  </si>
  <si>
    <t>変更は不可とする</t>
    <rPh sb="0" eb="2">
      <t>ヘンコウ</t>
    </rPh>
    <rPh sb="3" eb="5">
      <t>フカ</t>
    </rPh>
    <phoneticPr fontId="2"/>
  </si>
  <si>
    <t>機種</t>
    <rPh sb="0" eb="2">
      <t>キシュ</t>
    </rPh>
    <phoneticPr fontId="2"/>
  </si>
  <si>
    <t>OS</t>
    <phoneticPr fontId="2"/>
  </si>
  <si>
    <t>業務範囲</t>
    <rPh sb="0" eb="2">
      <t>ギョウム</t>
    </rPh>
    <rPh sb="2" eb="4">
      <t>ハンイ</t>
    </rPh>
    <phoneticPr fontId="2"/>
  </si>
  <si>
    <t>男</t>
    <rPh sb="0" eb="1">
      <t>オトコ</t>
    </rPh>
    <phoneticPr fontId="2"/>
  </si>
  <si>
    <t>PM</t>
    <phoneticPr fontId="2"/>
  </si>
  <si>
    <t>RS/6000</t>
    <phoneticPr fontId="2"/>
  </si>
  <si>
    <t>AIX4.X</t>
    <phoneticPr fontId="2"/>
  </si>
  <si>
    <t>C</t>
    <phoneticPr fontId="2"/>
  </si>
  <si>
    <t>UDB</t>
    <phoneticPr fontId="2"/>
  </si>
  <si>
    <t>WebSphere</t>
    <phoneticPr fontId="2"/>
  </si>
  <si>
    <t>●</t>
    <phoneticPr fontId="2"/>
  </si>
  <si>
    <t>女</t>
    <rPh sb="0" eb="1">
      <t>オンナ</t>
    </rPh>
    <phoneticPr fontId="2"/>
  </si>
  <si>
    <t>PL</t>
    <phoneticPr fontId="2"/>
  </si>
  <si>
    <t>SUN</t>
    <phoneticPr fontId="2"/>
  </si>
  <si>
    <t>AIX5L</t>
    <phoneticPr fontId="2"/>
  </si>
  <si>
    <t>C++</t>
    <phoneticPr fontId="2"/>
  </si>
  <si>
    <t>DB2</t>
    <phoneticPr fontId="2"/>
  </si>
  <si>
    <t>Tivoli</t>
    <phoneticPr fontId="2"/>
  </si>
  <si>
    <t>SL</t>
    <phoneticPr fontId="2"/>
  </si>
  <si>
    <t>HP</t>
    <phoneticPr fontId="2"/>
  </si>
  <si>
    <t>HP/UX</t>
    <phoneticPr fontId="2"/>
  </si>
  <si>
    <t>VB</t>
    <phoneticPr fontId="2"/>
  </si>
  <si>
    <t>ORACLE</t>
    <phoneticPr fontId="2"/>
  </si>
  <si>
    <t>HACMP</t>
    <phoneticPr fontId="2"/>
  </si>
  <si>
    <t>SE</t>
    <phoneticPr fontId="2"/>
  </si>
  <si>
    <t>UNIX機</t>
    <rPh sb="4" eb="5">
      <t>キ</t>
    </rPh>
    <phoneticPr fontId="2"/>
  </si>
  <si>
    <t>Solaris</t>
    <phoneticPr fontId="2"/>
  </si>
  <si>
    <t>VC++</t>
    <phoneticPr fontId="2"/>
  </si>
  <si>
    <t>SYBASE</t>
    <phoneticPr fontId="2"/>
  </si>
  <si>
    <t>CICS</t>
    <phoneticPr fontId="2"/>
  </si>
  <si>
    <t>PG</t>
    <phoneticPr fontId="2"/>
  </si>
  <si>
    <t>DOS/V</t>
    <phoneticPr fontId="2"/>
  </si>
  <si>
    <t>UNIX</t>
    <phoneticPr fontId="2"/>
  </si>
  <si>
    <t>Java</t>
    <phoneticPr fontId="2"/>
  </si>
  <si>
    <t>Informix</t>
    <phoneticPr fontId="2"/>
  </si>
  <si>
    <t>IMS</t>
    <phoneticPr fontId="2"/>
  </si>
  <si>
    <t>－</t>
    <phoneticPr fontId="2"/>
  </si>
  <si>
    <t>IBMﾎｽﾄ</t>
    <phoneticPr fontId="2"/>
  </si>
  <si>
    <t>Linux</t>
    <phoneticPr fontId="2"/>
  </si>
  <si>
    <t>COBOL</t>
    <phoneticPr fontId="2"/>
  </si>
  <si>
    <t>Access</t>
    <phoneticPr fontId="2"/>
  </si>
  <si>
    <t>Notes</t>
    <phoneticPr fontId="2"/>
  </si>
  <si>
    <t>日立ﾎｽﾄ</t>
    <rPh sb="0" eb="2">
      <t>ヒタチ</t>
    </rPh>
    <phoneticPr fontId="2"/>
  </si>
  <si>
    <t>WIN･95</t>
    <phoneticPr fontId="2"/>
  </si>
  <si>
    <t>PL/1</t>
    <phoneticPr fontId="2"/>
  </si>
  <si>
    <t>富士通ﾎｽﾄ</t>
    <rPh sb="0" eb="3">
      <t>フジツウ</t>
    </rPh>
    <phoneticPr fontId="2"/>
  </si>
  <si>
    <t>WIN･98</t>
    <phoneticPr fontId="2"/>
  </si>
  <si>
    <t>Pascal</t>
    <phoneticPr fontId="2"/>
  </si>
  <si>
    <t>MQ</t>
    <phoneticPr fontId="2"/>
  </si>
  <si>
    <t>Palm</t>
    <phoneticPr fontId="2"/>
  </si>
  <si>
    <t>WIN･NT</t>
    <phoneticPr fontId="2"/>
  </si>
  <si>
    <t>FORTRAN</t>
    <phoneticPr fontId="2"/>
  </si>
  <si>
    <t>TCP/IP</t>
    <phoneticPr fontId="2"/>
  </si>
  <si>
    <t>WIN･2000</t>
    <phoneticPr fontId="2"/>
  </si>
  <si>
    <t>ASM</t>
    <phoneticPr fontId="2"/>
  </si>
  <si>
    <t>SNA</t>
    <phoneticPr fontId="2"/>
  </si>
  <si>
    <t>WIN･XP</t>
    <phoneticPr fontId="2"/>
  </si>
  <si>
    <t>ASP</t>
    <phoneticPr fontId="2"/>
  </si>
  <si>
    <t>HNA</t>
    <phoneticPr fontId="2"/>
  </si>
  <si>
    <t>WIN･3.1</t>
    <phoneticPr fontId="2"/>
  </si>
  <si>
    <t>JSP</t>
    <phoneticPr fontId="2"/>
  </si>
  <si>
    <t>OSI</t>
    <phoneticPr fontId="2"/>
  </si>
  <si>
    <t>MS-DOS</t>
    <phoneticPr fontId="2"/>
  </si>
  <si>
    <t>sh</t>
    <phoneticPr fontId="2"/>
  </si>
  <si>
    <t>APPC</t>
    <phoneticPr fontId="2"/>
  </si>
  <si>
    <t>OS/2</t>
    <phoneticPr fontId="2"/>
  </si>
  <si>
    <t>ksh</t>
    <phoneticPr fontId="2"/>
  </si>
  <si>
    <t>MVS</t>
    <phoneticPr fontId="2"/>
  </si>
  <si>
    <t>csh</t>
    <phoneticPr fontId="2"/>
  </si>
  <si>
    <t>VOS</t>
    <phoneticPr fontId="2"/>
  </si>
  <si>
    <t>perl</t>
    <phoneticPr fontId="2"/>
  </si>
  <si>
    <t>VM</t>
    <phoneticPr fontId="2"/>
  </si>
  <si>
    <r>
      <t>P</t>
    </r>
    <r>
      <rPr>
        <sz val="11"/>
        <rFont val="ＭＳ Ｐゴシック"/>
        <family val="3"/>
        <charset val="128"/>
      </rPr>
      <t>ower Builder</t>
    </r>
    <phoneticPr fontId="2"/>
  </si>
  <si>
    <t>OS/400</t>
    <phoneticPr fontId="2"/>
  </si>
  <si>
    <r>
      <t>L</t>
    </r>
    <r>
      <rPr>
        <sz val="11"/>
        <rFont val="ＭＳ Ｐゴシック"/>
        <family val="3"/>
        <charset val="128"/>
      </rPr>
      <t>adders</t>
    </r>
    <phoneticPr fontId="2"/>
  </si>
  <si>
    <r>
      <t>P</t>
    </r>
    <r>
      <rPr>
        <sz val="11"/>
        <rFont val="ＭＳ Ｐゴシック"/>
        <family val="3"/>
        <charset val="128"/>
      </rPr>
      <t>almOS</t>
    </r>
    <phoneticPr fontId="2"/>
  </si>
  <si>
    <t>PHP</t>
    <phoneticPr fontId="2"/>
  </si>
  <si>
    <t>ｻｻｷ ｼｮｳﾍｲ</t>
    <phoneticPr fontId="2"/>
  </si>
  <si>
    <t>生年月日</t>
  </si>
  <si>
    <t>氏名</t>
    <rPh sb="0" eb="2">
      <t>シメイ</t>
    </rPh>
    <phoneticPr fontId="2"/>
  </si>
  <si>
    <t>佐々木 翔平</t>
    <rPh sb="0" eb="3">
      <t>ササキ</t>
    </rPh>
    <rPh sb="4" eb="6">
      <t>ショウヘイ</t>
    </rPh>
    <phoneticPr fontId="2"/>
  </si>
  <si>
    <t>男</t>
  </si>
  <si>
    <t>最終学歴</t>
    <rPh sb="0" eb="2">
      <t>サイシュウ</t>
    </rPh>
    <rPh sb="2" eb="4">
      <t>ガクレキ</t>
    </rPh>
    <phoneticPr fontId="2"/>
  </si>
  <si>
    <t>出身校</t>
    <rPh sb="0" eb="3">
      <t>シュッシンコウ</t>
    </rPh>
    <phoneticPr fontId="2"/>
  </si>
  <si>
    <t>専攻学科</t>
    <phoneticPr fontId="2"/>
  </si>
  <si>
    <t>卒業年度</t>
    <rPh sb="0" eb="2">
      <t>ソツギョウ</t>
    </rPh>
    <rPh sb="2" eb="4">
      <t>ネンド</t>
    </rPh>
    <phoneticPr fontId="2"/>
  </si>
  <si>
    <t>盛岡情報ITクリエイター専門学校</t>
    <rPh sb="0" eb="4">
      <t>モリオカジョウホウ</t>
    </rPh>
    <rPh sb="12" eb="14">
      <t>センモン</t>
    </rPh>
    <rPh sb="14" eb="16">
      <t>ガッコウ</t>
    </rPh>
    <phoneticPr fontId="2"/>
  </si>
  <si>
    <t>システム開発</t>
    <rPh sb="4" eb="6">
      <t>カイハツ</t>
    </rPh>
    <phoneticPr fontId="2"/>
  </si>
  <si>
    <t>その他</t>
    <rPh sb="2" eb="3">
      <t>タ</t>
    </rPh>
    <phoneticPr fontId="2"/>
  </si>
  <si>
    <t>合計</t>
    <rPh sb="0" eb="2">
      <t>ゴウケイ</t>
    </rPh>
    <phoneticPr fontId="2"/>
  </si>
  <si>
    <t>資格</t>
    <rPh sb="0" eb="2">
      <t>シカク</t>
    </rPh>
    <phoneticPr fontId="2"/>
  </si>
  <si>
    <t>資格名</t>
    <rPh sb="0" eb="2">
      <t>シカク</t>
    </rPh>
    <rPh sb="2" eb="3">
      <t>メイ</t>
    </rPh>
    <phoneticPr fontId="2"/>
  </si>
  <si>
    <t>国別</t>
    <rPh sb="0" eb="2">
      <t>クニベツ</t>
    </rPh>
    <phoneticPr fontId="2"/>
  </si>
  <si>
    <t>取得年月</t>
    <rPh sb="0" eb="2">
      <t>シュトク</t>
    </rPh>
    <rPh sb="2" eb="4">
      <t>ネンゲツ</t>
    </rPh>
    <phoneticPr fontId="2"/>
  </si>
  <si>
    <t>最寄駅</t>
    <rPh sb="0" eb="2">
      <t>モヨリ</t>
    </rPh>
    <rPh sb="2" eb="3">
      <t>エキ</t>
    </rPh>
    <phoneticPr fontId="2"/>
  </si>
  <si>
    <t>路線名</t>
    <rPh sb="0" eb="2">
      <t>ロセン</t>
    </rPh>
    <rPh sb="2" eb="3">
      <t>メイ</t>
    </rPh>
    <phoneticPr fontId="2"/>
  </si>
  <si>
    <t>都営三田線</t>
    <rPh sb="0" eb="2">
      <t>トエイ</t>
    </rPh>
    <rPh sb="2" eb="5">
      <t>ミタセン</t>
    </rPh>
    <phoneticPr fontId="2"/>
  </si>
  <si>
    <t>来日年月日</t>
    <rPh sb="0" eb="2">
      <t>ライニチ</t>
    </rPh>
    <rPh sb="2" eb="3">
      <t>ネン</t>
    </rPh>
    <rPh sb="3" eb="4">
      <t>ツキ</t>
    </rPh>
    <rPh sb="4" eb="5">
      <t>ニチ</t>
    </rPh>
    <phoneticPr fontId="2"/>
  </si>
  <si>
    <t>-</t>
    <phoneticPr fontId="2"/>
  </si>
  <si>
    <t>日本ビジネス技能検定　３級</t>
    <rPh sb="0" eb="1">
      <t>ニチ</t>
    </rPh>
    <rPh sb="1" eb="2">
      <t>ホン</t>
    </rPh>
    <rPh sb="6" eb="8">
      <t>ギノウ</t>
    </rPh>
    <rPh sb="8" eb="10">
      <t>ケンテイ</t>
    </rPh>
    <rPh sb="11" eb="13">
      <t>サンキュウ</t>
    </rPh>
    <phoneticPr fontId="2"/>
  </si>
  <si>
    <t>日本</t>
    <rPh sb="0" eb="2">
      <t>ニホン</t>
    </rPh>
    <phoneticPr fontId="2"/>
  </si>
  <si>
    <t>2024/8/</t>
    <phoneticPr fontId="2"/>
  </si>
  <si>
    <t>駅名</t>
    <rPh sb="0" eb="1">
      <t>エキ</t>
    </rPh>
    <rPh sb="1" eb="2">
      <t>メイ</t>
    </rPh>
    <phoneticPr fontId="2"/>
  </si>
  <si>
    <t>新板橋駅</t>
    <rPh sb="0" eb="3">
      <t>シンイタバシ</t>
    </rPh>
    <rPh sb="3" eb="4">
      <t>エキ</t>
    </rPh>
    <phoneticPr fontId="2"/>
  </si>
  <si>
    <t>日本滞在期間</t>
    <rPh sb="0" eb="2">
      <t>ニホン</t>
    </rPh>
    <rPh sb="2" eb="4">
      <t>タイザイ</t>
    </rPh>
    <rPh sb="4" eb="6">
      <t>キカン</t>
    </rPh>
    <phoneticPr fontId="2"/>
  </si>
  <si>
    <t>普通自動車第一種運転免許証</t>
    <rPh sb="0" eb="2">
      <t>フツウ</t>
    </rPh>
    <rPh sb="2" eb="5">
      <t>ジドウシャ</t>
    </rPh>
    <rPh sb="5" eb="8">
      <t>ダイイッシュ</t>
    </rPh>
    <rPh sb="8" eb="10">
      <t>ウンテン</t>
    </rPh>
    <rPh sb="10" eb="13">
      <t>メンキョショウ</t>
    </rPh>
    <phoneticPr fontId="2"/>
  </si>
  <si>
    <t>経験</t>
    <rPh sb="0" eb="2">
      <t>ケイケン</t>
    </rPh>
    <phoneticPr fontId="2"/>
  </si>
  <si>
    <t>PC</t>
    <phoneticPr fontId="2"/>
  </si>
  <si>
    <t>ＯＳ</t>
    <phoneticPr fontId="2"/>
  </si>
  <si>
    <t>Windows、Linux、IOS、android</t>
    <phoneticPr fontId="2"/>
  </si>
  <si>
    <t>Python、HTML、CSS、java、JavaScript、C</t>
    <phoneticPr fontId="2"/>
  </si>
  <si>
    <t>自己ＰＲ</t>
    <phoneticPr fontId="2"/>
  </si>
  <si>
    <t>中学生時代には部活動でキャプテンを務め、チームをまとめる経験を積みました。
専門学校時代には、飲食店での厨房のアルバイトを通して、忙しい時間帯におけるスタッフ同士の連携や周囲への気配りの重要性を学びました。また、新人教育を任される中で、相手に合わせて指導する力や、チーム全体を意識した行動力を身につけました。
卒業制作ではリーダーを務め、メンバーの意見を積極的に取り入れながらチーム内で共有し、成果物の改善に繋げました。これにより、円滑なコミュニケーションを図りながらチームで開発を進める力を養いました。
さらに、技術面ではPythonおよびDjangoを用いたWebアプリケーション開発に取り組み、ユーザー認証機能や画面の構築を行いました。今後も新しい技術に主体的に挑戦し、チームに貢献できるエンジニアを目指してまいります。
以下が卒業制作で作成したアプリ詳細となります。
----------------
◆卒業制作サイト(中学生向けの図書検索サイト)
Djangoを用いたPythonのWebアプリケーションを開発し、ログイン・ログアウト機能などのユーザー認証機能を実装しました。認証状態に応じたホーム画面の表示やプロフィール機能を構築し、新着のおすすめ書籍を表示する機能も実装しました。また、フォーム送信や画面遷移を通して、GETやPOSTによるリクエスト処理など、HTTP通信の基本的な流れを意識しながら開発を行いました。
チーム開発ではリーダーを務めましたが、当初は進捗管理やタスクの割り振りが不十分で、スケジュール通りにまとめることが難しい状況となりました。そこで、作業の優先順位を見直し、必要な機能に絞って開発を進めるとともに、定期的な進捗共有を行うことで立て直しを図りました。
この経験から、事前の計画と進捗管理の重要性に加え、状況に応じて優先順位を判断する力や、チーム内での情報共有の大切さを学びました。
■担当内容:
設計:シーケンス図の作成
製造:クイズ、ハンバーガーメニューの作成
試験項目:ログイン認証、ログアウト、画面表示・遷移、新着書籍表示の確認
5人チームのリーダー、設計の立案、提案、記録係、修正</t>
  </si>
  <si>
    <t>MySQL,H2</t>
    <phoneticPr fontId="2"/>
  </si>
  <si>
    <t>Visual Studio、Eclipse</t>
    <phoneticPr fontId="2"/>
  </si>
  <si>
    <t>＊役割　PM＝プロジェクトマネージャー　PL=プロジェクトリーダー　　SL＝サブリーダー　SE＝SE　　PG=プログラマー</t>
    <phoneticPr fontId="2"/>
  </si>
  <si>
    <t>業務範囲：該当欄に　●　を選択。</t>
    <rPh sb="0" eb="2">
      <t>ギョウム</t>
    </rPh>
    <rPh sb="2" eb="4">
      <t>ハンイ</t>
    </rPh>
    <rPh sb="5" eb="7">
      <t>ガイトウ</t>
    </rPh>
    <rPh sb="7" eb="8">
      <t>ラン</t>
    </rPh>
    <rPh sb="13" eb="15">
      <t>センタク</t>
    </rPh>
    <phoneticPr fontId="2"/>
  </si>
  <si>
    <t>期間（月数）</t>
    <rPh sb="0" eb="2">
      <t>キカン</t>
    </rPh>
    <rPh sb="3" eb="5">
      <t>ツキスウ</t>
    </rPh>
    <phoneticPr fontId="2"/>
  </si>
  <si>
    <t>（至）</t>
    <rPh sb="1" eb="2">
      <t>イタ</t>
    </rPh>
    <phoneticPr fontId="2"/>
  </si>
  <si>
    <t>要件定義</t>
    <rPh sb="0" eb="2">
      <t>ヨウケン</t>
    </rPh>
    <rPh sb="2" eb="4">
      <t>テイギ</t>
    </rPh>
    <phoneticPr fontId="2"/>
  </si>
  <si>
    <t>基本</t>
    <rPh sb="0" eb="2">
      <t>キホン</t>
    </rPh>
    <phoneticPr fontId="2"/>
  </si>
  <si>
    <t>詳細設計</t>
    <rPh sb="0" eb="2">
      <t>ショウサイ</t>
    </rPh>
    <rPh sb="2" eb="4">
      <t>セッケイ</t>
    </rPh>
    <phoneticPr fontId="2"/>
  </si>
  <si>
    <t>製造UT</t>
    <rPh sb="0" eb="2">
      <t>セイゾウ</t>
    </rPh>
    <phoneticPr fontId="2"/>
  </si>
  <si>
    <t>結合T</t>
    <rPh sb="0" eb="2">
      <t>ケツゴウ</t>
    </rPh>
    <phoneticPr fontId="2"/>
  </si>
  <si>
    <t>ｼｽﾃﾑT</t>
    <phoneticPr fontId="2"/>
  </si>
  <si>
    <t>運用・他</t>
    <rPh sb="3" eb="4">
      <t>タ</t>
    </rPh>
    <phoneticPr fontId="2"/>
  </si>
  <si>
    <t>外部</t>
    <rPh sb="0" eb="2">
      <t>ガイブ</t>
    </rPh>
    <phoneticPr fontId="2"/>
  </si>
  <si>
    <t>内部</t>
    <rPh sb="0" eb="2">
      <t>ナイブ</t>
    </rPh>
    <phoneticPr fontId="2"/>
  </si>
  <si>
    <t>●</t>
  </si>
  <si>
    <t>SE</t>
  </si>
  <si>
    <t>Windows</t>
  </si>
  <si>
    <t>Java</t>
  </si>
  <si>
    <t>MySQL</t>
  </si>
  <si>
    <t>Visual Studio</t>
    <phoneticPr fontId="2"/>
  </si>
  <si>
    <t>Linux</t>
  </si>
  <si>
    <t>C#</t>
    <phoneticPr fontId="2"/>
  </si>
  <si>
    <t>TeraTerm</t>
    <phoneticPr fontId="2"/>
  </si>
  <si>
    <t>C</t>
  </si>
  <si>
    <t>Eclipse</t>
    <phoneticPr fontId="2"/>
  </si>
  <si>
    <t>windows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</si>
</sst>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mm"/>
    <numFmt numFmtId="177" formatCode="0_);[Red]\(0\)"/>
    <numFmt numFmtId="178" formatCode="0&quot;人&quot;"/>
    <numFmt numFmtId="179" formatCode="0.0&quot;年　　　&quot;"/>
    <numFmt numFmtId="180" formatCode="#&quot;年&quot;"/>
  </numFmts>
  <fonts count="14">
    <font>
      <sz val="11"/>
      <name val="ＭＳ Ｐゴシック"/>
      <family val="3"/>
      <charset val="128"/>
    </font>
    <font>
      <sz val="11"/>
      <name val="ＭＳ Ｐゴシック"/>
      <family val="3"/>
      <charset val="128"/>
    </font>
    <font>
      <sz val="6"/>
      <name val="ＭＳ Ｐゴシック"/>
      <family val="3"/>
      <charset val="128"/>
    </font>
    <font>
      <b/>
      <i/>
      <sz val="14"/>
      <name val="ＭＳ Ｐゴシック"/>
      <family val="3"/>
      <charset val="128"/>
    </font>
    <font>
      <b/>
      <u/>
      <sz val="14"/>
      <name val="ＭＳ Ｐゴシック"/>
      <family val="3"/>
      <charset val="128"/>
    </font>
    <font>
      <sz val="9"/>
      <name val="ＭＳ Ｐゴシック"/>
      <family val="3"/>
      <charset val="128"/>
    </font>
    <font>
      <b/>
      <i/>
      <sz val="12"/>
      <name val="ＭＳ Ｐゴシック"/>
      <family val="3"/>
      <charset val="128"/>
    </font>
    <font>
      <sz val="8"/>
      <name val="ＭＳ Ｐゴシック"/>
      <family val="3"/>
      <charset val="128"/>
    </font>
    <font>
      <sz val="7"/>
      <name val="ＭＳ Ｐゴシック"/>
      <family val="3"/>
      <charset val="128"/>
    </font>
    <font>
      <sz val="9"/>
      <color indexed="81"/>
      <name val="ＭＳ Ｐゴシック"/>
      <family val="3"/>
      <charset val="128"/>
    </font>
    <font>
      <b/>
      <sz val="9"/>
      <color indexed="81"/>
      <name val="ＭＳ Ｐゴシック"/>
      <family val="3"/>
      <charset val="128"/>
    </font>
    <font>
      <sz val="1"/>
      <color indexed="9"/>
      <name val="ＭＳ Ｐゴシック"/>
      <family val="3"/>
      <charset val="128"/>
    </font>
    <font>
      <sz val="9"/>
      <color indexed="10"/>
      <name val="ＭＳ Ｐゴシック"/>
      <family val="3"/>
      <charset val="128"/>
    </font>
    <font>
      <sz val="10"/>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indexed="43"/>
        <bgColor indexed="64"/>
      </patternFill>
    </fill>
    <fill>
      <patternFill patternType="solid">
        <fgColor indexed="41"/>
        <bgColor indexed="64"/>
      </patternFill>
    </fill>
    <fill>
      <patternFill patternType="solid">
        <fgColor indexed="9"/>
        <bgColor indexed="64"/>
      </patternFill>
    </fill>
    <fill>
      <patternFill patternType="gray0625">
        <fgColor indexed="9"/>
        <bgColor indexed="41"/>
      </patternFill>
    </fill>
  </fills>
  <borders count="89">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style="thin">
        <color indexed="64"/>
      </top>
      <bottom style="medium">
        <color indexed="64"/>
      </bottom>
      <diagonal/>
    </border>
    <border>
      <left/>
      <right/>
      <top/>
      <bottom style="medium">
        <color indexed="64"/>
      </bottom>
      <diagonal/>
    </border>
    <border>
      <left style="medium">
        <color indexed="64"/>
      </left>
      <right style="thin">
        <color indexed="64"/>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diagonal/>
    </border>
    <border>
      <left/>
      <right style="thin">
        <color indexed="64"/>
      </right>
      <top style="thin">
        <color indexed="64"/>
      </top>
      <bottom style="thin">
        <color indexed="64"/>
      </bottom>
      <diagonal/>
    </border>
    <border>
      <left style="thin">
        <color indexed="64"/>
      </left>
      <right style="thin">
        <color indexed="64"/>
      </right>
      <top style="dotted">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dotted">
        <color indexed="64"/>
      </bottom>
      <diagonal/>
    </border>
    <border>
      <left/>
      <right/>
      <top/>
      <bottom style="dotted">
        <color indexed="64"/>
      </bottom>
      <diagonal/>
    </border>
    <border>
      <left style="medium">
        <color indexed="64"/>
      </left>
      <right style="thin">
        <color indexed="64"/>
      </right>
      <top style="thin">
        <color indexed="64"/>
      </top>
      <bottom style="medium">
        <color indexed="64"/>
      </bottom>
      <diagonal/>
    </border>
    <border>
      <left/>
      <right style="thin">
        <color indexed="64"/>
      </right>
      <top/>
      <bottom style="medium">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medium">
        <color indexed="64"/>
      </left>
      <right/>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dotted">
        <color indexed="64"/>
      </bottom>
      <diagonal/>
    </border>
    <border>
      <left/>
      <right style="thin">
        <color indexed="64"/>
      </right>
      <top style="medium">
        <color indexed="64"/>
      </top>
      <bottom style="dotted">
        <color indexed="64"/>
      </bottom>
      <diagonal/>
    </border>
    <border>
      <left style="medium">
        <color indexed="64"/>
      </left>
      <right/>
      <top style="dotted">
        <color indexed="64"/>
      </top>
      <bottom style="medium">
        <color indexed="64"/>
      </bottom>
      <diagonal/>
    </border>
    <border>
      <left/>
      <right style="thin">
        <color indexed="64"/>
      </right>
      <top style="dotted">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bottom/>
      <diagonal/>
    </border>
  </borders>
  <cellStyleXfs count="1">
    <xf numFmtId="0" fontId="0" fillId="0" borderId="0"/>
  </cellStyleXfs>
  <cellXfs count="263">
    <xf numFmtId="0" fontId="0" fillId="0" borderId="0" xfId="0"/>
    <xf numFmtId="0" fontId="0" fillId="0" borderId="0" xfId="0" applyAlignment="1">
      <alignment horizontal="centerContinuous"/>
    </xf>
    <xf numFmtId="0" fontId="0" fillId="0" borderId="1" xfId="0" applyBorder="1" applyAlignment="1">
      <alignment horizontal="center"/>
    </xf>
    <xf numFmtId="0" fontId="3" fillId="0" borderId="0" xfId="0" applyFont="1"/>
    <xf numFmtId="176" fontId="0" fillId="0" borderId="0" xfId="0" applyNumberFormat="1"/>
    <xf numFmtId="0" fontId="0" fillId="0" borderId="0" xfId="0" applyAlignment="1">
      <alignment vertical="top"/>
    </xf>
    <xf numFmtId="0" fontId="4" fillId="0" borderId="0" xfId="0" applyFont="1" applyAlignment="1">
      <alignment horizontal="centerContinuous"/>
    </xf>
    <xf numFmtId="0" fontId="0" fillId="0" borderId="2" xfId="0" applyBorder="1" applyAlignment="1">
      <alignment vertical="top"/>
    </xf>
    <xf numFmtId="0" fontId="0" fillId="0" borderId="0" xfId="0" applyAlignment="1">
      <alignment horizontal="right" vertical="top"/>
    </xf>
    <xf numFmtId="0" fontId="0" fillId="0" borderId="0" xfId="0" applyProtection="1">
      <protection locked="0"/>
    </xf>
    <xf numFmtId="0" fontId="4" fillId="0" borderId="0" xfId="0" applyFont="1" applyAlignment="1" applyProtection="1">
      <alignment horizontal="centerContinuous"/>
      <protection locked="0"/>
    </xf>
    <xf numFmtId="0" fontId="0" fillId="2" borderId="2" xfId="0" applyFill="1" applyBorder="1" applyAlignment="1" applyProtection="1">
      <alignment horizontal="center"/>
      <protection locked="0"/>
    </xf>
    <xf numFmtId="0" fontId="0" fillId="0" borderId="2" xfId="0" applyBorder="1" applyProtection="1">
      <protection locked="0"/>
    </xf>
    <xf numFmtId="0" fontId="0" fillId="0" borderId="2" xfId="0" applyBorder="1" applyAlignment="1">
      <alignment wrapText="1"/>
    </xf>
    <xf numFmtId="0" fontId="0" fillId="2" borderId="2" xfId="0" applyFill="1" applyBorder="1" applyProtection="1">
      <protection locked="0"/>
    </xf>
    <xf numFmtId="0" fontId="0" fillId="2" borderId="2" xfId="0" applyFill="1" applyBorder="1"/>
    <xf numFmtId="0" fontId="0" fillId="0" borderId="3" xfId="0" applyBorder="1" applyAlignment="1">
      <alignment horizontal="center"/>
    </xf>
    <xf numFmtId="0" fontId="0" fillId="3" borderId="2" xfId="0" applyFill="1" applyBorder="1"/>
    <xf numFmtId="0" fontId="0" fillId="0" borderId="1" xfId="0" applyBorder="1" applyProtection="1">
      <protection locked="0"/>
    </xf>
    <xf numFmtId="0" fontId="0" fillId="0" borderId="4"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7" xfId="0" applyBorder="1" applyAlignment="1">
      <alignment vertical="top"/>
    </xf>
    <xf numFmtId="0" fontId="0" fillId="0" borderId="8" xfId="0" applyBorder="1" applyAlignment="1">
      <alignment vertical="top"/>
    </xf>
    <xf numFmtId="0" fontId="0" fillId="0" borderId="8" xfId="0" applyBorder="1" applyAlignment="1">
      <alignment vertical="top" wrapText="1"/>
    </xf>
    <xf numFmtId="0" fontId="0" fillId="0" borderId="9" xfId="0" applyBorder="1" applyAlignment="1">
      <alignment vertical="top"/>
    </xf>
    <xf numFmtId="0" fontId="0" fillId="0" borderId="10" xfId="0" applyBorder="1" applyAlignment="1">
      <alignment vertical="top" wrapText="1"/>
    </xf>
    <xf numFmtId="0" fontId="0" fillId="0" borderId="11" xfId="0" applyBorder="1" applyAlignment="1">
      <alignment vertical="top"/>
    </xf>
    <xf numFmtId="0" fontId="0" fillId="0" borderId="5" xfId="0" applyBorder="1" applyAlignment="1">
      <alignment vertical="top"/>
    </xf>
    <xf numFmtId="0" fontId="0" fillId="0" borderId="6" xfId="0" applyBorder="1" applyAlignment="1">
      <alignment vertical="top"/>
    </xf>
    <xf numFmtId="0" fontId="0" fillId="2" borderId="12"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0" fillId="0" borderId="0" xfId="0" applyAlignment="1">
      <alignment horizontal="center" vertical="center"/>
    </xf>
    <xf numFmtId="0" fontId="0" fillId="0" borderId="0" xfId="0" applyAlignment="1">
      <alignment horizontal="center"/>
    </xf>
    <xf numFmtId="0" fontId="5" fillId="0" borderId="0" xfId="0" applyFont="1" applyAlignment="1">
      <alignment vertical="center"/>
    </xf>
    <xf numFmtId="176" fontId="0" fillId="0" borderId="15" xfId="0" applyNumberFormat="1" applyBorder="1" applyAlignment="1" applyProtection="1">
      <alignment horizontal="right"/>
      <protection locked="0"/>
    </xf>
    <xf numFmtId="176" fontId="0" fillId="0" borderId="16" xfId="0" applyNumberFormat="1" applyBorder="1" applyAlignment="1" applyProtection="1">
      <alignment horizontal="left"/>
      <protection locked="0"/>
    </xf>
    <xf numFmtId="0" fontId="0" fillId="0" borderId="17" xfId="0" applyBorder="1" applyAlignment="1">
      <alignment horizontal="center"/>
    </xf>
    <xf numFmtId="0" fontId="0" fillId="0" borderId="2" xfId="0" applyBorder="1" applyAlignment="1">
      <alignment vertical="top" wrapText="1"/>
    </xf>
    <xf numFmtId="0" fontId="0" fillId="0" borderId="16" xfId="0" applyBorder="1" applyProtection="1">
      <protection locked="0"/>
    </xf>
    <xf numFmtId="0" fontId="0" fillId="0" borderId="18" xfId="0" applyBorder="1" applyProtection="1">
      <protection locked="0"/>
    </xf>
    <xf numFmtId="0" fontId="0" fillId="0" borderId="19" xfId="0" applyBorder="1" applyProtection="1">
      <protection locked="0"/>
    </xf>
    <xf numFmtId="0" fontId="0" fillId="0" borderId="20" xfId="0" applyBorder="1" applyProtection="1">
      <protection locked="0"/>
    </xf>
    <xf numFmtId="0" fontId="0" fillId="4" borderId="16" xfId="0" applyFill="1" applyBorder="1" applyAlignment="1">
      <alignment horizontal="center"/>
    </xf>
    <xf numFmtId="0" fontId="0" fillId="4" borderId="22" xfId="0" applyFill="1" applyBorder="1" applyAlignment="1">
      <alignment horizontal="right"/>
    </xf>
    <xf numFmtId="0" fontId="0" fillId="4" borderId="15" xfId="0" applyFill="1" applyBorder="1" applyAlignment="1">
      <alignment horizontal="right"/>
    </xf>
    <xf numFmtId="0" fontId="0" fillId="4" borderId="19" xfId="0" applyFill="1" applyBorder="1" applyAlignment="1">
      <alignment horizontal="right"/>
    </xf>
    <xf numFmtId="176" fontId="0" fillId="4" borderId="2" xfId="0" applyNumberFormat="1" applyFill="1" applyBorder="1" applyAlignment="1" applyProtection="1">
      <alignment horizontal="right"/>
      <protection locked="0"/>
    </xf>
    <xf numFmtId="176" fontId="0" fillId="4" borderId="9" xfId="0" applyNumberFormat="1" applyFill="1" applyBorder="1" applyAlignment="1" applyProtection="1">
      <alignment horizontal="right"/>
      <protection locked="0"/>
    </xf>
    <xf numFmtId="0" fontId="6" fillId="0" borderId="0" xfId="0" applyFont="1" applyAlignment="1">
      <alignment horizontal="right"/>
    </xf>
    <xf numFmtId="179" fontId="0" fillId="0" borderId="0" xfId="0" applyNumberFormat="1"/>
    <xf numFmtId="0" fontId="0" fillId="4" borderId="23" xfId="0" applyFill="1" applyBorder="1" applyAlignment="1">
      <alignment horizontal="center"/>
    </xf>
    <xf numFmtId="0" fontId="0" fillId="4" borderId="18" xfId="0" applyFill="1" applyBorder="1" applyAlignment="1">
      <alignment horizontal="center"/>
    </xf>
    <xf numFmtId="0" fontId="0" fillId="0" borderId="1" xfId="0" applyBorder="1" applyAlignment="1" applyProtection="1">
      <alignment horizontal="left"/>
      <protection locked="0"/>
    </xf>
    <xf numFmtId="0" fontId="1" fillId="0" borderId="2" xfId="0" applyFont="1" applyBorder="1" applyProtection="1">
      <protection locked="0"/>
    </xf>
    <xf numFmtId="0" fontId="0" fillId="0" borderId="24" xfId="0" applyBorder="1" applyProtection="1">
      <protection locked="0"/>
    </xf>
    <xf numFmtId="0" fontId="0" fillId="0" borderId="25" xfId="0" applyBorder="1" applyProtection="1">
      <protection locked="0"/>
    </xf>
    <xf numFmtId="0" fontId="0" fillId="4" borderId="26" xfId="0" applyFill="1" applyBorder="1" applyAlignment="1" applyProtection="1">
      <alignment horizontal="center"/>
      <protection locked="0"/>
    </xf>
    <xf numFmtId="0" fontId="0" fillId="4" borderId="24" xfId="0" applyFill="1" applyBorder="1" applyAlignment="1" applyProtection="1">
      <alignment horizontal="center"/>
      <protection locked="0"/>
    </xf>
    <xf numFmtId="14" fontId="0" fillId="0" borderId="27" xfId="0" applyNumberFormat="1" applyBorder="1" applyAlignment="1" applyProtection="1">
      <alignment horizontal="center"/>
      <protection locked="0"/>
    </xf>
    <xf numFmtId="0" fontId="0" fillId="0" borderId="2" xfId="0" applyBorder="1"/>
    <xf numFmtId="0" fontId="0" fillId="4" borderId="28" xfId="0" applyFill="1" applyBorder="1" applyAlignment="1">
      <alignment horizontal="center"/>
    </xf>
    <xf numFmtId="0" fontId="0" fillId="4" borderId="5" xfId="0" applyFill="1" applyBorder="1" applyAlignment="1">
      <alignment horizontal="center"/>
    </xf>
    <xf numFmtId="0" fontId="0" fillId="0" borderId="20" xfId="0" applyBorder="1" applyAlignment="1" applyProtection="1">
      <alignment horizontal="center"/>
      <protection hidden="1"/>
    </xf>
    <xf numFmtId="179" fontId="0" fillId="0" borderId="30" xfId="0" applyNumberFormat="1" applyBorder="1" applyProtection="1">
      <protection hidden="1"/>
    </xf>
    <xf numFmtId="179" fontId="0" fillId="0" borderId="31" xfId="0" applyNumberFormat="1" applyBorder="1" applyProtection="1">
      <protection hidden="1"/>
    </xf>
    <xf numFmtId="179" fontId="0" fillId="0" borderId="32" xfId="0" applyNumberFormat="1" applyBorder="1" applyProtection="1">
      <protection hidden="1"/>
    </xf>
    <xf numFmtId="179" fontId="0" fillId="0" borderId="33" xfId="0" applyNumberFormat="1" applyBorder="1" applyProtection="1">
      <protection hidden="1"/>
    </xf>
    <xf numFmtId="179" fontId="0" fillId="0" borderId="34" xfId="0" applyNumberFormat="1" applyBorder="1" applyProtection="1">
      <protection hidden="1"/>
    </xf>
    <xf numFmtId="179" fontId="0" fillId="0" borderId="35" xfId="0" applyNumberFormat="1" applyBorder="1" applyProtection="1">
      <protection hidden="1"/>
    </xf>
    <xf numFmtId="0" fontId="0" fillId="0" borderId="36" xfId="0" applyBorder="1" applyAlignment="1" applyProtection="1">
      <alignment horizontal="center"/>
      <protection hidden="1"/>
    </xf>
    <xf numFmtId="176" fontId="0" fillId="0" borderId="22" xfId="0" applyNumberFormat="1" applyBorder="1" applyAlignment="1" applyProtection="1">
      <alignment horizontal="left"/>
      <protection locked="0"/>
    </xf>
    <xf numFmtId="176" fontId="0" fillId="0" borderId="1" xfId="0" applyNumberFormat="1" applyBorder="1" applyAlignment="1" applyProtection="1">
      <alignment horizontal="left"/>
      <protection locked="0"/>
    </xf>
    <xf numFmtId="0" fontId="0" fillId="0" borderId="3" xfId="0" applyBorder="1" applyProtection="1">
      <protection locked="0"/>
    </xf>
    <xf numFmtId="0" fontId="0" fillId="0" borderId="17" xfId="0" applyBorder="1" applyProtection="1">
      <protection locked="0"/>
    </xf>
    <xf numFmtId="0" fontId="0" fillId="0" borderId="37" xfId="0" applyBorder="1" applyAlignment="1">
      <alignment horizontal="center"/>
    </xf>
    <xf numFmtId="176" fontId="0" fillId="0" borderId="16" xfId="0" applyNumberFormat="1" applyBorder="1" applyAlignment="1" applyProtection="1">
      <alignment horizontal="left"/>
      <protection hidden="1"/>
    </xf>
    <xf numFmtId="176" fontId="0" fillId="0" borderId="1" xfId="0" applyNumberFormat="1" applyBorder="1" applyAlignment="1" applyProtection="1">
      <alignment horizontal="right"/>
      <protection locked="0"/>
    </xf>
    <xf numFmtId="0" fontId="0" fillId="0" borderId="2" xfId="0" applyBorder="1" applyAlignment="1" applyProtection="1">
      <alignment horizontal="center"/>
      <protection locked="0"/>
    </xf>
    <xf numFmtId="0" fontId="0" fillId="4" borderId="38" xfId="0" applyFill="1" applyBorder="1" applyAlignment="1">
      <alignment horizontal="center"/>
    </xf>
    <xf numFmtId="0" fontId="0" fillId="4" borderId="1" xfId="0" applyFill="1" applyBorder="1" applyAlignment="1">
      <alignment horizontal="center"/>
    </xf>
    <xf numFmtId="0" fontId="0" fillId="4" borderId="4" xfId="0" applyFill="1" applyBorder="1" applyAlignment="1">
      <alignment horizontal="center"/>
    </xf>
    <xf numFmtId="0" fontId="0" fillId="4" borderId="27" xfId="0" applyFill="1" applyBorder="1" applyAlignment="1">
      <alignment horizontal="center"/>
    </xf>
    <xf numFmtId="180" fontId="0" fillId="0" borderId="8" xfId="0" applyNumberFormat="1" applyBorder="1" applyAlignment="1" applyProtection="1">
      <alignment horizontal="center"/>
      <protection locked="0"/>
    </xf>
    <xf numFmtId="180" fontId="0" fillId="0" borderId="10" xfId="0" applyNumberFormat="1" applyBorder="1" applyAlignment="1" applyProtection="1">
      <alignment horizontal="center"/>
      <protection locked="0"/>
    </xf>
    <xf numFmtId="0" fontId="0" fillId="0" borderId="5" xfId="0" applyBorder="1" applyAlignment="1" applyProtection="1">
      <alignment wrapText="1"/>
      <protection locked="0"/>
    </xf>
    <xf numFmtId="0" fontId="0" fillId="4" borderId="21" xfId="0" applyFill="1" applyBorder="1" applyAlignment="1">
      <alignment horizontal="center"/>
    </xf>
    <xf numFmtId="0" fontId="0" fillId="0" borderId="29" xfId="0" applyBorder="1" applyAlignment="1">
      <alignment horizontal="center"/>
    </xf>
    <xf numFmtId="1" fontId="0" fillId="0" borderId="23" xfId="0" applyNumberFormat="1" applyBorder="1" applyAlignment="1">
      <alignment horizontal="center" vertical="center"/>
    </xf>
    <xf numFmtId="1" fontId="0" fillId="0" borderId="38" xfId="0" applyNumberFormat="1" applyBorder="1" applyAlignment="1">
      <alignment horizontal="center" vertical="center"/>
    </xf>
    <xf numFmtId="1" fontId="0" fillId="0" borderId="11" xfId="0" applyNumberFormat="1" applyBorder="1" applyAlignment="1">
      <alignment horizontal="center" vertical="center"/>
    </xf>
    <xf numFmtId="177" fontId="0" fillId="0" borderId="57" xfId="0" applyNumberFormat="1" applyBorder="1" applyAlignment="1" applyProtection="1">
      <alignment horizontal="center" vertical="center"/>
      <protection hidden="1"/>
    </xf>
    <xf numFmtId="177" fontId="0" fillId="0" borderId="5" xfId="0" applyNumberFormat="1" applyBorder="1" applyAlignment="1" applyProtection="1">
      <alignment horizontal="center" vertical="center"/>
      <protection hidden="1"/>
    </xf>
    <xf numFmtId="0" fontId="0" fillId="0" borderId="16" xfId="0"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5" xfId="0" applyBorder="1" applyAlignment="1" applyProtection="1">
      <alignment horizontal="center" vertical="center"/>
      <protection locked="0"/>
    </xf>
    <xf numFmtId="178" fontId="0" fillId="0" borderId="57" xfId="0" applyNumberFormat="1" applyBorder="1" applyAlignment="1" applyProtection="1">
      <alignment horizontal="center" vertical="center"/>
      <protection locked="0"/>
    </xf>
    <xf numFmtId="178" fontId="0" fillId="0" borderId="5" xfId="0" applyNumberFormat="1" applyBorder="1" applyAlignment="1" applyProtection="1">
      <alignment horizontal="center" vertical="center"/>
      <protection locked="0"/>
    </xf>
    <xf numFmtId="0" fontId="5" fillId="0" borderId="41" xfId="0" applyFont="1" applyBorder="1" applyAlignment="1" applyProtection="1">
      <alignment horizontal="left" vertical="top" wrapText="1"/>
      <protection locked="0"/>
    </xf>
    <xf numFmtId="0" fontId="5" fillId="0" borderId="42" xfId="0" applyFont="1" applyBorder="1" applyAlignment="1" applyProtection="1">
      <alignment horizontal="left" vertical="top" wrapText="1"/>
      <protection locked="0"/>
    </xf>
    <xf numFmtId="0" fontId="5" fillId="0" borderId="43" xfId="0" applyFont="1" applyBorder="1" applyAlignment="1" applyProtection="1">
      <alignment horizontal="left" vertical="top" wrapText="1"/>
      <protection locked="0"/>
    </xf>
    <xf numFmtId="0" fontId="5" fillId="0" borderId="44"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45" xfId="0" applyFont="1" applyBorder="1" applyAlignment="1" applyProtection="1">
      <alignment horizontal="left" vertical="top" wrapText="1"/>
      <protection locked="0"/>
    </xf>
    <xf numFmtId="0" fontId="5" fillId="0" borderId="46" xfId="0" applyFont="1" applyBorder="1" applyAlignment="1" applyProtection="1">
      <alignment horizontal="left" vertical="top" wrapText="1"/>
      <protection locked="0"/>
    </xf>
    <xf numFmtId="0" fontId="5" fillId="0" borderId="47" xfId="0" applyFont="1" applyBorder="1" applyAlignment="1" applyProtection="1">
      <alignment horizontal="left" vertical="top" wrapText="1"/>
      <protection locked="0"/>
    </xf>
    <xf numFmtId="0" fontId="5" fillId="0" borderId="48" xfId="0" applyFont="1" applyBorder="1" applyAlignment="1" applyProtection="1">
      <alignment horizontal="left" vertical="top" wrapText="1"/>
      <protection locked="0"/>
    </xf>
    <xf numFmtId="0" fontId="5" fillId="0" borderId="39" xfId="0" applyFont="1" applyBorder="1" applyAlignment="1" applyProtection="1">
      <protection locked="0"/>
    </xf>
    <xf numFmtId="0" fontId="5" fillId="0" borderId="40" xfId="0" applyFont="1" applyBorder="1" applyAlignment="1" applyProtection="1">
      <protection locked="0"/>
    </xf>
    <xf numFmtId="0" fontId="5" fillId="0" borderId="56" xfId="0" applyFont="1" applyBorder="1" applyAlignment="1" applyProtection="1">
      <protection locked="0"/>
    </xf>
    <xf numFmtId="177" fontId="0" fillId="4" borderId="16" xfId="0" applyNumberFormat="1" applyFill="1" applyBorder="1" applyAlignment="1" applyProtection="1">
      <alignment vertical="center"/>
      <protection locked="0"/>
    </xf>
    <xf numFmtId="177" fontId="0" fillId="4" borderId="1" xfId="0" applyNumberFormat="1" applyFill="1" applyBorder="1" applyAlignment="1" applyProtection="1">
      <alignment vertical="center"/>
      <protection locked="0"/>
    </xf>
    <xf numFmtId="177" fontId="0" fillId="4" borderId="5" xfId="0" applyNumberFormat="1" applyFill="1" applyBorder="1" applyAlignment="1" applyProtection="1">
      <alignment vertical="center"/>
      <protection locked="0"/>
    </xf>
    <xf numFmtId="0" fontId="0" fillId="4" borderId="77" xfId="0" applyFill="1" applyBorder="1" applyAlignment="1">
      <alignment horizontal="center" vertical="center"/>
    </xf>
    <xf numFmtId="0" fontId="0" fillId="4" borderId="78" xfId="0" applyFill="1" applyBorder="1" applyAlignment="1">
      <alignment horizontal="center" vertical="center"/>
    </xf>
    <xf numFmtId="0" fontId="13" fillId="5" borderId="2" xfId="0" applyFont="1" applyFill="1" applyBorder="1" applyAlignment="1" applyProtection="1">
      <alignment horizontal="left"/>
      <protection locked="0"/>
    </xf>
    <xf numFmtId="55" fontId="0" fillId="5" borderId="2" xfId="0" applyNumberFormat="1" applyFill="1" applyBorder="1" applyAlignment="1" applyProtection="1">
      <alignment horizontal="center"/>
      <protection locked="0"/>
    </xf>
    <xf numFmtId="55" fontId="0" fillId="5" borderId="8" xfId="0" applyNumberFormat="1" applyFill="1" applyBorder="1" applyAlignment="1" applyProtection="1">
      <alignment horizontal="center"/>
      <protection locked="0"/>
    </xf>
    <xf numFmtId="0" fontId="0" fillId="0" borderId="53" xfId="0" applyBorder="1" applyAlignment="1" applyProtection="1">
      <protection locked="0"/>
    </xf>
    <xf numFmtId="0" fontId="0" fillId="0" borderId="54" xfId="0" applyBorder="1" applyAlignment="1" applyProtection="1">
      <protection locked="0"/>
    </xf>
    <xf numFmtId="0" fontId="0" fillId="0" borderId="55" xfId="0" applyBorder="1" applyAlignment="1" applyProtection="1">
      <protection locked="0"/>
    </xf>
    <xf numFmtId="0" fontId="0" fillId="4" borderId="79" xfId="0" applyFill="1" applyBorder="1" applyAlignment="1">
      <alignment horizontal="center" vertical="center"/>
    </xf>
    <xf numFmtId="0" fontId="0" fillId="4" borderId="4" xfId="0" applyFill="1" applyBorder="1" applyAlignment="1">
      <alignment vertical="center"/>
    </xf>
    <xf numFmtId="0" fontId="0" fillId="4" borderId="20" xfId="0" applyFill="1" applyBorder="1" applyAlignment="1">
      <alignment vertical="center"/>
    </xf>
    <xf numFmtId="0" fontId="0" fillId="4" borderId="80" xfId="0" applyFill="1" applyBorder="1" applyAlignment="1">
      <alignment horizontal="center"/>
    </xf>
    <xf numFmtId="0" fontId="0" fillId="4" borderId="81" xfId="0" applyFill="1" applyBorder="1" applyAlignment="1">
      <alignment horizontal="center"/>
    </xf>
    <xf numFmtId="0" fontId="0" fillId="4" borderId="73" xfId="0" applyFill="1" applyBorder="1" applyAlignment="1">
      <alignment horizontal="center"/>
    </xf>
    <xf numFmtId="0" fontId="13" fillId="0" borderId="53" xfId="0" applyFont="1" applyBorder="1" applyAlignment="1" applyProtection="1">
      <alignment horizontal="left"/>
      <protection locked="0"/>
    </xf>
    <xf numFmtId="0" fontId="13" fillId="0" borderId="54" xfId="0" applyFont="1" applyBorder="1" applyAlignment="1" applyProtection="1">
      <alignment horizontal="left"/>
      <protection locked="0"/>
    </xf>
    <xf numFmtId="0" fontId="13" fillId="0" borderId="58" xfId="0" applyFont="1" applyBorder="1" applyAlignment="1" applyProtection="1">
      <alignment horizontal="left"/>
      <protection locked="0"/>
    </xf>
    <xf numFmtId="0" fontId="0" fillId="4" borderId="44" xfId="0" applyFill="1" applyBorder="1" applyAlignment="1">
      <alignment horizontal="center" vertical="center"/>
    </xf>
    <xf numFmtId="0" fontId="0" fillId="4" borderId="0" xfId="0" applyFill="1" applyAlignment="1">
      <alignment vertical="center"/>
    </xf>
    <xf numFmtId="0" fontId="0" fillId="4" borderId="45" xfId="0" applyFill="1" applyBorder="1" applyAlignment="1">
      <alignment vertical="center"/>
    </xf>
    <xf numFmtId="0" fontId="0" fillId="4" borderId="26" xfId="0" applyFill="1" applyBorder="1" applyAlignment="1">
      <alignment vertical="center"/>
    </xf>
    <xf numFmtId="0" fontId="0" fillId="4" borderId="37" xfId="0" applyFill="1" applyBorder="1" applyAlignment="1">
      <alignment vertical="center"/>
    </xf>
    <xf numFmtId="0" fontId="0" fillId="4" borderId="65" xfId="0" applyFill="1" applyBorder="1" applyAlignment="1">
      <alignment vertical="center"/>
    </xf>
    <xf numFmtId="0" fontId="0" fillId="6" borderId="72" xfId="0" applyFill="1" applyBorder="1" applyAlignment="1">
      <alignment horizontal="center"/>
    </xf>
    <xf numFmtId="0" fontId="0" fillId="6" borderId="73" xfId="0" applyFill="1" applyBorder="1" applyAlignment="1">
      <alignment horizontal="center"/>
    </xf>
    <xf numFmtId="0" fontId="0" fillId="6" borderId="74" xfId="0" applyFill="1" applyBorder="1" applyAlignment="1">
      <alignment horizontal="center"/>
    </xf>
    <xf numFmtId="0" fontId="0" fillId="6" borderId="75" xfId="0" applyFill="1" applyBorder="1" applyAlignment="1">
      <alignment horizontal="center"/>
    </xf>
    <xf numFmtId="0" fontId="13" fillId="0" borderId="25" xfId="0" applyFont="1" applyBorder="1" applyAlignment="1" applyProtection="1">
      <alignment horizontal="left"/>
      <protection locked="0"/>
    </xf>
    <xf numFmtId="0" fontId="13" fillId="0" borderId="60" xfId="0" applyFont="1" applyBorder="1" applyAlignment="1" applyProtection="1">
      <alignment horizontal="left"/>
      <protection locked="0"/>
    </xf>
    <xf numFmtId="0" fontId="13" fillId="0" borderId="82" xfId="0" applyFont="1" applyBorder="1" applyAlignment="1" applyProtection="1">
      <alignment horizontal="left"/>
      <protection locked="0"/>
    </xf>
    <xf numFmtId="0" fontId="0" fillId="6" borderId="49" xfId="0" applyFill="1" applyBorder="1" applyAlignment="1">
      <alignment horizontal="center" vertical="center"/>
    </xf>
    <xf numFmtId="0" fontId="0" fillId="6" borderId="69" xfId="0" applyFill="1" applyBorder="1" applyAlignment="1">
      <alignment horizontal="center" vertical="center"/>
    </xf>
    <xf numFmtId="0" fontId="0" fillId="6" borderId="68" xfId="0" applyFill="1" applyBorder="1" applyAlignment="1">
      <alignment horizontal="center" vertical="center"/>
    </xf>
    <xf numFmtId="0" fontId="0" fillId="6" borderId="45" xfId="0" applyFill="1" applyBorder="1" applyAlignment="1">
      <alignment horizontal="center" vertical="center"/>
    </xf>
    <xf numFmtId="0" fontId="0" fillId="6" borderId="51" xfId="0" applyFill="1" applyBorder="1" applyAlignment="1">
      <alignment horizontal="center" vertical="center"/>
    </xf>
    <xf numFmtId="0" fontId="0" fillId="6" borderId="65" xfId="0" applyFill="1" applyBorder="1" applyAlignment="1">
      <alignment horizontal="center" vertical="center"/>
    </xf>
    <xf numFmtId="0" fontId="0" fillId="4" borderId="83" xfId="0" applyFill="1" applyBorder="1" applyAlignment="1">
      <alignment horizontal="center"/>
    </xf>
    <xf numFmtId="0" fontId="0" fillId="0" borderId="29" xfId="0" applyBorder="1" applyAlignment="1">
      <alignment horizontal="center"/>
    </xf>
    <xf numFmtId="0" fontId="0" fillId="0" borderId="50" xfId="0" applyBorder="1" applyAlignment="1">
      <alignment horizontal="center"/>
    </xf>
    <xf numFmtId="0" fontId="0" fillId="0" borderId="69" xfId="0" applyBorder="1" applyAlignment="1">
      <alignment horizontal="center"/>
    </xf>
    <xf numFmtId="0" fontId="0" fillId="4" borderId="24" xfId="0" applyFill="1" applyBorder="1" applyAlignment="1">
      <alignment horizontal="center"/>
    </xf>
    <xf numFmtId="0" fontId="0" fillId="4" borderId="70" xfId="0" applyFill="1" applyBorder="1" applyAlignment="1">
      <alignment horizontal="center"/>
    </xf>
    <xf numFmtId="0" fontId="0" fillId="4" borderId="71" xfId="0" applyFill="1" applyBorder="1" applyAlignment="1">
      <alignment horizontal="center"/>
    </xf>
    <xf numFmtId="0" fontId="0" fillId="4" borderId="77" xfId="0" applyFill="1" applyBorder="1" applyAlignment="1">
      <alignment horizontal="center" vertical="center" wrapText="1"/>
    </xf>
    <xf numFmtId="0" fontId="0" fillId="4" borderId="38" xfId="0" applyFill="1" applyBorder="1" applyAlignment="1">
      <alignment horizontal="center" vertical="center" wrapText="1"/>
    </xf>
    <xf numFmtId="0" fontId="0" fillId="4" borderId="78" xfId="0" applyFill="1" applyBorder="1" applyAlignment="1">
      <alignment horizontal="center" vertical="center" wrapText="1"/>
    </xf>
    <xf numFmtId="0" fontId="13" fillId="0" borderId="84" xfId="0" applyFont="1" applyBorder="1" applyAlignment="1" applyProtection="1">
      <alignment horizontal="left" vertical="top" wrapText="1"/>
      <protection locked="0"/>
    </xf>
    <xf numFmtId="0" fontId="13" fillId="0" borderId="85" xfId="0" applyFont="1" applyBorder="1" applyAlignment="1" applyProtection="1">
      <alignment horizontal="left" vertical="top" wrapText="1"/>
      <protection locked="0"/>
    </xf>
    <xf numFmtId="0" fontId="13" fillId="0" borderId="86" xfId="0" applyFont="1" applyBorder="1" applyAlignment="1" applyProtection="1">
      <alignment horizontal="left" vertical="top" wrapText="1"/>
      <protection locked="0"/>
    </xf>
    <xf numFmtId="0" fontId="13" fillId="0" borderId="46" xfId="0" applyFont="1" applyBorder="1" applyAlignment="1" applyProtection="1">
      <alignment horizontal="left" vertical="top" wrapText="1"/>
      <protection locked="0"/>
    </xf>
    <xf numFmtId="0" fontId="13" fillId="0" borderId="47" xfId="0" applyFont="1" applyBorder="1" applyAlignment="1" applyProtection="1">
      <alignment horizontal="left" vertical="top" wrapText="1"/>
      <protection locked="0"/>
    </xf>
    <xf numFmtId="0" fontId="13" fillId="0" borderId="87" xfId="0" applyFont="1" applyBorder="1" applyAlignment="1" applyProtection="1">
      <alignment horizontal="left" vertical="top" wrapText="1"/>
      <protection locked="0"/>
    </xf>
    <xf numFmtId="0" fontId="13" fillId="0" borderId="44" xfId="0" applyFont="1" applyBorder="1" applyAlignment="1" applyProtection="1">
      <alignment horizontal="left" vertical="top" wrapText="1"/>
      <protection locked="0"/>
    </xf>
    <xf numFmtId="0" fontId="13" fillId="0" borderId="0" xfId="0" applyFont="1" applyAlignment="1" applyProtection="1">
      <alignment horizontal="left" vertical="top" wrapText="1"/>
      <protection locked="0"/>
    </xf>
    <xf numFmtId="0" fontId="13" fillId="0" borderId="88" xfId="0" applyFont="1" applyBorder="1" applyAlignment="1" applyProtection="1">
      <alignment horizontal="left" vertical="top" wrapText="1"/>
      <protection locked="0"/>
    </xf>
    <xf numFmtId="0" fontId="13" fillId="0" borderId="26" xfId="0" applyFont="1" applyBorder="1" applyAlignment="1" applyProtection="1">
      <alignment horizontal="left" vertical="top" wrapText="1"/>
      <protection locked="0"/>
    </xf>
    <xf numFmtId="0" fontId="13" fillId="0" borderId="37" xfId="0" applyFont="1" applyBorder="1" applyAlignment="1" applyProtection="1">
      <alignment horizontal="left" vertical="top" wrapText="1"/>
      <protection locked="0"/>
    </xf>
    <xf numFmtId="0" fontId="13" fillId="0" borderId="52" xfId="0" applyFont="1" applyBorder="1" applyAlignment="1" applyProtection="1">
      <alignment horizontal="left" vertical="top" wrapText="1"/>
      <protection locked="0"/>
    </xf>
    <xf numFmtId="0" fontId="0" fillId="4" borderId="16" xfId="0" applyFill="1" applyBorder="1" applyAlignment="1">
      <alignment horizontal="center" vertical="center"/>
    </xf>
    <xf numFmtId="0" fontId="0" fillId="4" borderId="5" xfId="0" applyFill="1" applyBorder="1" applyAlignment="1">
      <alignment horizontal="center" vertical="center"/>
    </xf>
    <xf numFmtId="0" fontId="0" fillId="4" borderId="19" xfId="0" applyFill="1" applyBorder="1" applyAlignment="1">
      <alignment horizontal="center" vertical="center"/>
    </xf>
    <xf numFmtId="0" fontId="0" fillId="4" borderId="22" xfId="0" applyFill="1" applyBorder="1" applyAlignment="1">
      <alignment horizontal="center" vertical="center"/>
    </xf>
    <xf numFmtId="0" fontId="0" fillId="4" borderId="1" xfId="0" applyFill="1" applyBorder="1" applyAlignment="1">
      <alignment vertical="center"/>
    </xf>
    <xf numFmtId="0" fontId="0" fillId="4" borderId="19" xfId="0" applyFill="1" applyBorder="1" applyAlignment="1">
      <alignment vertical="center"/>
    </xf>
    <xf numFmtId="0" fontId="0" fillId="0" borderId="37" xfId="0" applyBorder="1" applyAlignment="1"/>
    <xf numFmtId="0" fontId="5" fillId="0" borderId="80" xfId="0" applyFont="1" applyBorder="1" applyAlignment="1" applyProtection="1">
      <protection locked="0"/>
    </xf>
    <xf numFmtId="0" fontId="5" fillId="0" borderId="81" xfId="0" applyFont="1" applyBorder="1" applyAlignment="1" applyProtection="1">
      <protection locked="0"/>
    </xf>
    <xf numFmtId="0" fontId="5" fillId="0" borderId="73" xfId="0" applyFont="1" applyBorder="1" applyAlignment="1" applyProtection="1">
      <protection locked="0"/>
    </xf>
    <xf numFmtId="0" fontId="5" fillId="4" borderId="16" xfId="0" applyFont="1" applyFill="1" applyBorder="1" applyAlignment="1">
      <alignment horizontal="center" vertical="center" textRotation="255"/>
    </xf>
    <xf numFmtId="0" fontId="5" fillId="4" borderId="19" xfId="0" applyFont="1" applyFill="1" applyBorder="1" applyAlignment="1">
      <alignment horizontal="center" vertical="center" textRotation="255"/>
    </xf>
    <xf numFmtId="0" fontId="7" fillId="4" borderId="16" xfId="0" applyFont="1" applyFill="1" applyBorder="1" applyAlignment="1">
      <alignment vertical="top" textRotation="255"/>
    </xf>
    <xf numFmtId="0" fontId="7" fillId="0" borderId="1" xfId="0" applyFont="1" applyBorder="1" applyAlignment="1">
      <alignment vertical="top" textRotation="255"/>
    </xf>
    <xf numFmtId="0" fontId="7" fillId="0" borderId="19" xfId="0" applyFont="1" applyBorder="1" applyAlignment="1">
      <alignment vertical="top" textRotation="255"/>
    </xf>
    <xf numFmtId="0" fontId="8" fillId="4" borderId="16" xfId="0" applyFont="1" applyFill="1" applyBorder="1" applyAlignment="1">
      <alignment vertical="top" textRotation="255"/>
    </xf>
    <xf numFmtId="0" fontId="8" fillId="0" borderId="1" xfId="0" applyFont="1" applyBorder="1" applyAlignment="1">
      <alignment vertical="top" textRotation="255"/>
    </xf>
    <xf numFmtId="0" fontId="8" fillId="0" borderId="19" xfId="0" applyFont="1" applyBorder="1" applyAlignment="1">
      <alignment vertical="top" textRotation="255"/>
    </xf>
    <xf numFmtId="0" fontId="5" fillId="4" borderId="16" xfId="0" applyFont="1" applyFill="1" applyBorder="1" applyAlignment="1">
      <alignment vertical="top" textRotation="255"/>
    </xf>
    <xf numFmtId="0" fontId="5" fillId="0" borderId="1" xfId="0" applyFont="1" applyBorder="1" applyAlignment="1">
      <alignment vertical="top" textRotation="255"/>
    </xf>
    <xf numFmtId="0" fontId="5" fillId="0" borderId="19" xfId="0" applyFont="1" applyBorder="1" applyAlignment="1">
      <alignment vertical="top" textRotation="255"/>
    </xf>
    <xf numFmtId="0" fontId="0" fillId="0" borderId="83" xfId="0" applyBorder="1" applyAlignment="1" applyProtection="1">
      <alignment horizontal="left" vertical="top" wrapText="1"/>
      <protection locked="0"/>
    </xf>
    <xf numFmtId="0" fontId="0" fillId="0" borderId="29" xfId="0" applyBorder="1" applyAlignment="1">
      <alignment horizontal="left"/>
    </xf>
    <xf numFmtId="0" fontId="0" fillId="0" borderId="50" xfId="0" applyBorder="1" applyAlignment="1">
      <alignment horizontal="left"/>
    </xf>
    <xf numFmtId="0" fontId="0" fillId="0" borderId="44" xfId="0" applyBorder="1" applyAlignment="1">
      <alignment horizontal="left"/>
    </xf>
    <xf numFmtId="0" fontId="0" fillId="0" borderId="0" xfId="0" applyAlignment="1">
      <alignment horizontal="left"/>
    </xf>
    <xf numFmtId="0" fontId="0" fillId="0" borderId="88" xfId="0" applyBorder="1" applyAlignment="1">
      <alignment horizontal="left"/>
    </xf>
    <xf numFmtId="0" fontId="0" fillId="0" borderId="26" xfId="0" applyBorder="1" applyAlignment="1">
      <alignment horizontal="left"/>
    </xf>
    <xf numFmtId="0" fontId="0" fillId="0" borderId="37" xfId="0" applyBorder="1" applyAlignment="1">
      <alignment horizontal="left"/>
    </xf>
    <xf numFmtId="0" fontId="0" fillId="0" borderId="52" xfId="0" applyBorder="1" applyAlignment="1">
      <alignment horizontal="left"/>
    </xf>
    <xf numFmtId="0" fontId="0" fillId="0" borderId="22" xfId="0" applyBorder="1" applyAlignment="1" applyProtection="1">
      <alignment horizontal="center" vertical="center"/>
      <protection locked="0"/>
    </xf>
    <xf numFmtId="0" fontId="5" fillId="4" borderId="53" xfId="0" applyFont="1" applyFill="1" applyBorder="1" applyAlignment="1">
      <alignment horizontal="center" vertical="center"/>
    </xf>
    <xf numFmtId="0" fontId="5" fillId="4" borderId="58" xfId="0" applyFont="1" applyFill="1" applyBorder="1" applyAlignment="1">
      <alignment horizontal="center" vertical="center"/>
    </xf>
    <xf numFmtId="1" fontId="0" fillId="0" borderId="76" xfId="0" applyNumberFormat="1" applyBorder="1" applyAlignment="1">
      <alignment horizontal="center" vertical="center"/>
    </xf>
    <xf numFmtId="1" fontId="0" fillId="0" borderId="7" xfId="0" applyNumberFormat="1" applyBorder="1" applyAlignment="1">
      <alignment horizontal="center" vertical="center"/>
    </xf>
    <xf numFmtId="0" fontId="0" fillId="4" borderId="77" xfId="0" applyFill="1" applyBorder="1" applyAlignment="1">
      <alignment vertical="center"/>
    </xf>
    <xf numFmtId="0" fontId="0" fillId="4" borderId="38" xfId="0" applyFill="1" applyBorder="1" applyAlignment="1">
      <alignment vertical="center"/>
    </xf>
    <xf numFmtId="0" fontId="0" fillId="4" borderId="78" xfId="0" applyFill="1" applyBorder="1" applyAlignment="1">
      <alignment vertical="center"/>
    </xf>
    <xf numFmtId="0" fontId="0" fillId="4" borderId="57" xfId="0" applyFill="1" applyBorder="1" applyAlignment="1">
      <alignment horizontal="center" vertical="center"/>
    </xf>
    <xf numFmtId="0" fontId="0" fillId="4" borderId="49" xfId="0" applyFill="1" applyBorder="1" applyAlignment="1">
      <alignment horizontal="center" vertical="center"/>
    </xf>
    <xf numFmtId="0" fontId="0" fillId="4" borderId="29" xfId="0" applyFill="1" applyBorder="1" applyAlignment="1">
      <alignment horizontal="center" vertical="center"/>
    </xf>
    <xf numFmtId="0" fontId="0" fillId="4" borderId="68" xfId="0" applyFill="1" applyBorder="1" applyAlignment="1">
      <alignment horizontal="center" vertical="center"/>
    </xf>
    <xf numFmtId="0" fontId="0" fillId="4" borderId="0" xfId="0" applyFill="1" applyAlignment="1">
      <alignment horizontal="center" vertical="center"/>
    </xf>
    <xf numFmtId="0" fontId="0" fillId="4" borderId="51" xfId="0" applyFill="1" applyBorder="1" applyAlignment="1">
      <alignment horizontal="center" vertical="center"/>
    </xf>
    <xf numFmtId="0" fontId="0" fillId="4" borderId="37" xfId="0" applyFill="1" applyBorder="1" applyAlignment="1">
      <alignment horizontal="center" vertical="center"/>
    </xf>
    <xf numFmtId="0" fontId="0" fillId="4" borderId="15" xfId="0" applyFill="1" applyBorder="1" applyAlignment="1">
      <alignment horizontal="center" vertical="center"/>
    </xf>
    <xf numFmtId="0" fontId="0" fillId="4" borderId="22" xfId="0" applyFill="1" applyBorder="1" applyAlignment="1">
      <alignment horizontal="right" vertical="center"/>
    </xf>
    <xf numFmtId="0" fontId="0" fillId="4" borderId="1" xfId="0" applyFill="1" applyBorder="1" applyAlignment="1">
      <alignment horizontal="right" vertical="center"/>
    </xf>
    <xf numFmtId="0" fontId="0" fillId="4" borderId="5" xfId="0" applyFill="1" applyBorder="1" applyAlignment="1">
      <alignment horizontal="right" vertical="center"/>
    </xf>
    <xf numFmtId="177" fontId="0" fillId="4" borderId="2" xfId="0" applyNumberFormat="1" applyFill="1" applyBorder="1" applyAlignment="1" applyProtection="1">
      <alignment vertical="center"/>
      <protection locked="0"/>
    </xf>
    <xf numFmtId="0" fontId="0" fillId="4" borderId="2" xfId="0" applyFill="1" applyBorder="1" applyAlignment="1">
      <alignment vertical="center"/>
    </xf>
    <xf numFmtId="0" fontId="0" fillId="0" borderId="19"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67" xfId="0" applyBorder="1" applyAlignment="1" applyProtection="1">
      <alignment horizontal="center" vertical="center"/>
      <protection locked="0"/>
    </xf>
    <xf numFmtId="0" fontId="0" fillId="0" borderId="58" xfId="0" applyBorder="1" applyAlignment="1" applyProtection="1">
      <alignment horizontal="center" vertical="center"/>
      <protection locked="0"/>
    </xf>
    <xf numFmtId="0" fontId="0" fillId="0" borderId="56" xfId="0" applyBorder="1" applyAlignment="1" applyProtection="1">
      <alignment horizontal="center" vertical="center"/>
      <protection locked="0"/>
    </xf>
    <xf numFmtId="178" fontId="0" fillId="0" borderId="59" xfId="0" applyNumberFormat="1" applyBorder="1" applyAlignment="1" applyProtection="1">
      <alignment horizontal="center" vertical="center"/>
      <protection locked="0"/>
    </xf>
    <xf numFmtId="178" fontId="0" fillId="0" borderId="2" xfId="0" applyNumberFormat="1" applyBorder="1" applyAlignment="1" applyProtection="1">
      <alignment horizontal="center" vertical="center"/>
      <protection locked="0"/>
    </xf>
    <xf numFmtId="0" fontId="0" fillId="0" borderId="48" xfId="0" applyBorder="1" applyAlignment="1" applyProtection="1">
      <alignment horizontal="center" vertical="center"/>
      <protection locked="0"/>
    </xf>
    <xf numFmtId="0" fontId="0" fillId="4" borderId="2" xfId="0" applyFill="1" applyBorder="1" applyAlignment="1" applyProtection="1">
      <alignment vertical="center"/>
      <protection locked="0"/>
    </xf>
    <xf numFmtId="0" fontId="5" fillId="0" borderId="62" xfId="0" applyFont="1" applyBorder="1" applyAlignment="1" applyProtection="1">
      <protection locked="0"/>
    </xf>
    <xf numFmtId="0" fontId="5" fillId="0" borderId="63" xfId="0" applyFont="1" applyBorder="1" applyAlignment="1" applyProtection="1">
      <protection locked="0"/>
    </xf>
    <xf numFmtId="1" fontId="0" fillId="0" borderId="64" xfId="0" applyNumberFormat="1" applyBorder="1" applyAlignment="1">
      <alignment horizontal="center" vertical="center"/>
    </xf>
    <xf numFmtId="0" fontId="5" fillId="0" borderId="26" xfId="0" applyFont="1" applyBorder="1" applyAlignment="1" applyProtection="1">
      <alignment horizontal="left" vertical="top" wrapText="1"/>
      <protection locked="0"/>
    </xf>
    <xf numFmtId="0" fontId="5" fillId="0" borderId="37" xfId="0" applyFont="1" applyBorder="1" applyAlignment="1" applyProtection="1">
      <alignment horizontal="left" vertical="top" wrapText="1"/>
      <protection locked="0"/>
    </xf>
    <xf numFmtId="0" fontId="5" fillId="0" borderId="65" xfId="0" applyFont="1" applyBorder="1" applyAlignment="1" applyProtection="1">
      <alignment horizontal="left" vertical="top" wrapText="1"/>
      <protection locked="0"/>
    </xf>
    <xf numFmtId="178" fontId="0" fillId="0" borderId="66" xfId="0" applyNumberFormat="1" applyBorder="1" applyAlignment="1" applyProtection="1">
      <alignment horizontal="center" vertical="center"/>
      <protection locked="0"/>
    </xf>
    <xf numFmtId="178" fontId="0" fillId="0" borderId="58" xfId="0" applyNumberFormat="1" applyBorder="1" applyAlignment="1" applyProtection="1">
      <alignment horizontal="center" vertical="center"/>
      <protection locked="0"/>
    </xf>
    <xf numFmtId="177" fontId="0" fillId="0" borderId="19" xfId="0" applyNumberFormat="1" applyBorder="1" applyAlignment="1" applyProtection="1">
      <alignment horizontal="center" vertical="center"/>
      <protection hidden="1"/>
    </xf>
    <xf numFmtId="0" fontId="0" fillId="4" borderId="50" xfId="0" applyFill="1" applyBorder="1" applyAlignment="1">
      <alignment horizontal="center" vertical="center"/>
    </xf>
    <xf numFmtId="0" fontId="0" fillId="4" borderId="52" xfId="0" applyFill="1" applyBorder="1" applyAlignment="1">
      <alignment horizontal="center" vertical="center"/>
    </xf>
    <xf numFmtId="0" fontId="13" fillId="0" borderId="53" xfId="0" applyFont="1" applyBorder="1" applyAlignment="1" applyProtection="1">
      <alignment horizontal="left" vertical="top" wrapText="1"/>
      <protection locked="0"/>
    </xf>
    <xf numFmtId="0" fontId="13" fillId="0" borderId="54" xfId="0" applyFont="1" applyBorder="1" applyAlignment="1" applyProtection="1">
      <alignment horizontal="left" vertical="top" wrapText="1"/>
      <protection locked="0"/>
    </xf>
    <xf numFmtId="0" fontId="13" fillId="0" borderId="55" xfId="0" applyFont="1" applyBorder="1" applyAlignment="1" applyProtection="1">
      <alignment horizontal="left" vertical="top" wrapText="1"/>
      <protection locked="0"/>
    </xf>
    <xf numFmtId="0" fontId="0" fillId="4" borderId="21" xfId="0" applyFill="1" applyBorder="1" applyAlignment="1">
      <alignment horizontal="center"/>
    </xf>
    <xf numFmtId="0" fontId="0" fillId="5" borderId="9" xfId="0" applyFill="1" applyBorder="1" applyAlignment="1">
      <alignment horizontal="center"/>
    </xf>
    <xf numFmtId="0" fontId="13" fillId="0" borderId="39" xfId="0" applyFont="1" applyBorder="1" applyAlignment="1" applyProtection="1">
      <protection locked="0"/>
    </xf>
    <xf numFmtId="0" fontId="13" fillId="0" borderId="40" xfId="0" applyFont="1" applyBorder="1" applyAlignment="1" applyProtection="1">
      <protection locked="0"/>
    </xf>
    <xf numFmtId="0" fontId="13" fillId="0" borderId="53" xfId="0" applyFont="1" applyBorder="1" applyAlignment="1" applyProtection="1">
      <protection locked="0"/>
    </xf>
    <xf numFmtId="0" fontId="13" fillId="0" borderId="54" xfId="0" applyFont="1" applyBorder="1" applyAlignment="1" applyProtection="1">
      <protection locked="0"/>
    </xf>
    <xf numFmtId="0" fontId="0" fillId="4" borderId="46" xfId="0" applyFill="1" applyBorder="1" applyAlignment="1">
      <alignment horizontal="center"/>
    </xf>
    <xf numFmtId="0" fontId="0" fillId="4" borderId="47" xfId="0" applyFill="1" applyBorder="1" applyAlignment="1">
      <alignment horizontal="center"/>
    </xf>
    <xf numFmtId="0" fontId="0" fillId="0" borderId="47" xfId="0" applyBorder="1" applyAlignment="1"/>
    <xf numFmtId="0" fontId="0" fillId="0" borderId="48" xfId="0" applyBorder="1" applyAlignment="1"/>
    <xf numFmtId="0" fontId="13" fillId="0" borderId="56" xfId="0" applyFont="1" applyBorder="1" applyAlignment="1" applyProtection="1">
      <protection locked="0"/>
    </xf>
    <xf numFmtId="0" fontId="13" fillId="0" borderId="58" xfId="0" applyFont="1" applyBorder="1" applyAlignment="1" applyProtection="1">
      <protection locked="0"/>
    </xf>
    <xf numFmtId="178" fontId="0" fillId="0" borderId="9" xfId="0" applyNumberFormat="1" applyBorder="1" applyAlignment="1" applyProtection="1">
      <alignment horizontal="center" vertical="center"/>
      <protection locked="0"/>
    </xf>
    <xf numFmtId="14" fontId="11" fillId="5" borderId="25" xfId="0" applyNumberFormat="1" applyFont="1" applyFill="1" applyBorder="1" applyAlignment="1" applyProtection="1">
      <alignment horizontal="center"/>
      <protection locked="0" hidden="1"/>
    </xf>
    <xf numFmtId="14" fontId="11" fillId="5" borderId="60" xfId="0" applyNumberFormat="1" applyFont="1" applyFill="1" applyBorder="1" applyAlignment="1" applyProtection="1">
      <alignment horizontal="center"/>
      <protection locked="0" hidden="1"/>
    </xf>
    <xf numFmtId="14" fontId="11" fillId="5" borderId="61" xfId="0" applyNumberFormat="1" applyFont="1" applyFill="1" applyBorder="1" applyAlignment="1" applyProtection="1">
      <alignment horizontal="center"/>
      <protection locked="0" hidden="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7"/>
  <sheetViews>
    <sheetView workbookViewId="0">
      <selection activeCell="D21" sqref="D21"/>
    </sheetView>
  </sheetViews>
  <sheetFormatPr defaultRowHeight="12.95"/>
  <cols>
    <col min="1" max="1" width="3.42578125" customWidth="1"/>
    <col min="2" max="2" width="4.42578125" customWidth="1"/>
    <col min="3" max="3" width="17.7109375" customWidth="1"/>
    <col min="4" max="4" width="13.140625" customWidth="1"/>
    <col min="5" max="5" width="75.28515625" customWidth="1"/>
  </cols>
  <sheetData>
    <row r="1" spans="2:5" ht="16.5">
      <c r="C1" s="6" t="s">
        <v>0</v>
      </c>
      <c r="D1" s="1"/>
      <c r="E1" s="1"/>
    </row>
    <row r="2" spans="2:5" ht="13.5" thickBot="1"/>
    <row r="3" spans="2:5" ht="13.5" thickBot="1">
      <c r="B3" s="30" t="s">
        <v>1</v>
      </c>
      <c r="C3" s="31" t="s">
        <v>2</v>
      </c>
      <c r="D3" s="31" t="s">
        <v>3</v>
      </c>
      <c r="E3" s="32" t="s">
        <v>4</v>
      </c>
    </row>
    <row r="4" spans="2:5">
      <c r="B4" s="27">
        <v>1</v>
      </c>
      <c r="C4" s="28" t="s">
        <v>5</v>
      </c>
      <c r="D4" s="28" t="s">
        <v>6</v>
      </c>
      <c r="E4" s="29" t="s">
        <v>7</v>
      </c>
    </row>
    <row r="5" spans="2:5">
      <c r="B5" s="22">
        <v>2</v>
      </c>
      <c r="C5" s="7" t="s">
        <v>8</v>
      </c>
      <c r="D5" s="7" t="s">
        <v>6</v>
      </c>
      <c r="E5" s="23" t="s">
        <v>9</v>
      </c>
    </row>
    <row r="6" spans="2:5">
      <c r="B6" s="22">
        <v>3</v>
      </c>
      <c r="C6" s="7" t="s">
        <v>10</v>
      </c>
      <c r="D6" s="7" t="s">
        <v>11</v>
      </c>
      <c r="E6" s="23" t="s">
        <v>12</v>
      </c>
    </row>
    <row r="7" spans="2:5">
      <c r="B7" s="27">
        <v>4</v>
      </c>
      <c r="C7" s="7" t="s">
        <v>13</v>
      </c>
      <c r="D7" s="7" t="s">
        <v>6</v>
      </c>
      <c r="E7" s="23" t="s">
        <v>14</v>
      </c>
    </row>
    <row r="8" spans="2:5">
      <c r="B8" s="22">
        <v>5</v>
      </c>
      <c r="C8" s="7" t="s">
        <v>15</v>
      </c>
      <c r="D8" s="7" t="s">
        <v>16</v>
      </c>
      <c r="E8" s="23" t="s">
        <v>17</v>
      </c>
    </row>
    <row r="9" spans="2:5">
      <c r="B9" s="22">
        <v>6</v>
      </c>
      <c r="C9" s="7" t="s">
        <v>18</v>
      </c>
      <c r="D9" s="7" t="s">
        <v>6</v>
      </c>
      <c r="E9" s="23" t="s">
        <v>19</v>
      </c>
    </row>
    <row r="10" spans="2:5">
      <c r="B10" s="27">
        <v>7</v>
      </c>
      <c r="C10" s="7" t="s">
        <v>20</v>
      </c>
      <c r="D10" s="7" t="s">
        <v>6</v>
      </c>
      <c r="E10" s="23" t="s">
        <v>21</v>
      </c>
    </row>
    <row r="11" spans="2:5">
      <c r="B11" s="22">
        <v>8</v>
      </c>
      <c r="C11" s="7" t="s">
        <v>22</v>
      </c>
      <c r="D11" s="7" t="s">
        <v>6</v>
      </c>
      <c r="E11" s="23" t="s">
        <v>23</v>
      </c>
    </row>
    <row r="12" spans="2:5">
      <c r="B12" s="27">
        <v>9</v>
      </c>
      <c r="C12" s="7" t="s">
        <v>24</v>
      </c>
      <c r="D12" s="7" t="s">
        <v>6</v>
      </c>
      <c r="E12" s="23" t="s">
        <v>25</v>
      </c>
    </row>
    <row r="13" spans="2:5">
      <c r="B13" s="22">
        <v>10</v>
      </c>
      <c r="C13" s="7" t="s">
        <v>26</v>
      </c>
      <c r="D13" s="7" t="s">
        <v>6</v>
      </c>
      <c r="E13" s="23" t="s">
        <v>27</v>
      </c>
    </row>
    <row r="14" spans="2:5">
      <c r="B14" s="22">
        <v>11</v>
      </c>
      <c r="C14" s="7" t="s">
        <v>28</v>
      </c>
      <c r="D14" s="7" t="s">
        <v>6</v>
      </c>
      <c r="E14" s="23" t="s">
        <v>29</v>
      </c>
    </row>
    <row r="15" spans="2:5">
      <c r="B15" s="27">
        <v>12</v>
      </c>
      <c r="C15" s="7" t="s">
        <v>30</v>
      </c>
      <c r="D15" s="7" t="s">
        <v>6</v>
      </c>
      <c r="E15" s="23" t="s">
        <v>31</v>
      </c>
    </row>
    <row r="16" spans="2:5" ht="126.75" customHeight="1">
      <c r="B16" s="22">
        <v>13</v>
      </c>
      <c r="C16" s="7" t="s">
        <v>32</v>
      </c>
      <c r="D16" s="7" t="s">
        <v>16</v>
      </c>
      <c r="E16" s="24" t="s">
        <v>33</v>
      </c>
    </row>
    <row r="17" spans="2:8" ht="48" customHeight="1">
      <c r="B17" s="27">
        <v>14</v>
      </c>
      <c r="C17" s="39" t="s">
        <v>34</v>
      </c>
      <c r="D17" s="7" t="s">
        <v>6</v>
      </c>
      <c r="E17" s="24" t="s">
        <v>35</v>
      </c>
    </row>
    <row r="18" spans="2:8">
      <c r="B18" s="22">
        <v>15</v>
      </c>
      <c r="C18" s="7" t="s">
        <v>36</v>
      </c>
      <c r="D18" s="7" t="s">
        <v>6</v>
      </c>
      <c r="E18" s="23" t="s">
        <v>37</v>
      </c>
      <c r="G18" s="4"/>
      <c r="H18" s="4"/>
    </row>
    <row r="19" spans="2:8">
      <c r="B19" s="22">
        <v>16</v>
      </c>
      <c r="C19" s="7" t="s">
        <v>38</v>
      </c>
      <c r="D19" s="7" t="s">
        <v>6</v>
      </c>
      <c r="E19" s="23" t="s">
        <v>39</v>
      </c>
    </row>
    <row r="20" spans="2:8">
      <c r="B20" s="27">
        <v>17</v>
      </c>
      <c r="C20" s="7" t="s">
        <v>40</v>
      </c>
      <c r="D20" s="7" t="s">
        <v>16</v>
      </c>
      <c r="E20" s="23" t="s">
        <v>41</v>
      </c>
    </row>
    <row r="21" spans="2:8" ht="156">
      <c r="B21" s="22">
        <v>18</v>
      </c>
      <c r="C21" s="7" t="s">
        <v>42</v>
      </c>
      <c r="D21" s="7" t="s">
        <v>6</v>
      </c>
      <c r="E21" s="24" t="s">
        <v>43</v>
      </c>
    </row>
    <row r="22" spans="2:8" ht="65.099999999999994">
      <c r="B22" s="27">
        <v>19</v>
      </c>
      <c r="C22" s="7" t="s">
        <v>44</v>
      </c>
      <c r="D22" s="7" t="s">
        <v>6</v>
      </c>
      <c r="E22" s="24" t="s">
        <v>45</v>
      </c>
    </row>
    <row r="23" spans="2:8" ht="26.1">
      <c r="B23" s="22">
        <v>20</v>
      </c>
      <c r="C23" s="7" t="s">
        <v>46</v>
      </c>
      <c r="D23" s="7" t="s">
        <v>6</v>
      </c>
      <c r="E23" s="24" t="s">
        <v>47</v>
      </c>
    </row>
    <row r="24" spans="2:8" ht="43.5" customHeight="1">
      <c r="B24" s="27">
        <v>21</v>
      </c>
      <c r="C24" s="7" t="s">
        <v>48</v>
      </c>
      <c r="D24" s="7" t="s">
        <v>11</v>
      </c>
      <c r="E24" s="24" t="s">
        <v>49</v>
      </c>
    </row>
    <row r="25" spans="2:8" ht="45.75" customHeight="1">
      <c r="B25" s="22">
        <v>22</v>
      </c>
      <c r="C25" s="7" t="s">
        <v>50</v>
      </c>
      <c r="D25" s="7" t="s">
        <v>6</v>
      </c>
      <c r="E25" s="24" t="s">
        <v>51</v>
      </c>
    </row>
    <row r="26" spans="2:8" ht="71.25" customHeight="1">
      <c r="B26" s="27">
        <v>23</v>
      </c>
      <c r="C26" s="7" t="s">
        <v>52</v>
      </c>
      <c r="D26" s="7" t="s">
        <v>11</v>
      </c>
      <c r="E26" s="24" t="s">
        <v>53</v>
      </c>
    </row>
    <row r="27" spans="2:8" ht="39">
      <c r="B27" s="22">
        <v>24</v>
      </c>
      <c r="C27" s="7" t="s">
        <v>54</v>
      </c>
      <c r="D27" s="7" t="s">
        <v>11</v>
      </c>
      <c r="E27" s="24" t="s">
        <v>55</v>
      </c>
    </row>
    <row r="28" spans="2:8" ht="39">
      <c r="B28" s="27">
        <v>25</v>
      </c>
      <c r="C28" s="7" t="s">
        <v>56</v>
      </c>
      <c r="D28" s="7" t="s">
        <v>11</v>
      </c>
      <c r="E28" s="24" t="s">
        <v>57</v>
      </c>
    </row>
    <row r="29" spans="2:8" ht="39.6" thickBot="1">
      <c r="B29" s="22">
        <v>26</v>
      </c>
      <c r="C29" s="25" t="s">
        <v>58</v>
      </c>
      <c r="D29" s="25" t="s">
        <v>11</v>
      </c>
      <c r="E29" s="26" t="s">
        <v>59</v>
      </c>
    </row>
    <row r="30" spans="2:8">
      <c r="C30" s="5"/>
      <c r="D30" s="5"/>
    </row>
    <row r="31" spans="2:8">
      <c r="C31" s="8" t="s">
        <v>60</v>
      </c>
      <c r="D31" s="7" t="s">
        <v>6</v>
      </c>
      <c r="E31" s="13" t="s">
        <v>61</v>
      </c>
    </row>
    <row r="32" spans="2:8" ht="26.1">
      <c r="C32" s="5"/>
      <c r="D32" s="7" t="s">
        <v>11</v>
      </c>
      <c r="E32" s="13" t="s">
        <v>62</v>
      </c>
    </row>
    <row r="33" spans="2:5">
      <c r="C33" s="5"/>
      <c r="D33" s="7" t="s">
        <v>16</v>
      </c>
      <c r="E33" s="13" t="s">
        <v>63</v>
      </c>
    </row>
    <row r="34" spans="2:5">
      <c r="C34" s="5"/>
      <c r="D34" s="5"/>
    </row>
    <row r="35" spans="2:5">
      <c r="B35" t="s">
        <v>64</v>
      </c>
      <c r="C35" t="s">
        <v>65</v>
      </c>
    </row>
    <row r="36" spans="2:5">
      <c r="C36" t="s">
        <v>66</v>
      </c>
    </row>
    <row r="37" spans="2:5">
      <c r="C37" t="s">
        <v>67</v>
      </c>
    </row>
  </sheetData>
  <sheetProtection password="CCE9" sheet="1" objects="1" scenarios="1"/>
  <phoneticPr fontId="2"/>
  <pageMargins left="0.75" right="0.75" top="1" bottom="1" header="0.51200000000000001" footer="0.51200000000000001"/>
  <pageSetup paperSize="9" scale="70" orientation="portrait" horizontalDpi="4294967292"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30"/>
  <sheetViews>
    <sheetView topLeftCell="A5" workbookViewId="0">
      <selection activeCell="F30" sqref="F30"/>
    </sheetView>
  </sheetViews>
  <sheetFormatPr defaultColWidth="9" defaultRowHeight="12.95"/>
  <cols>
    <col min="1" max="1" width="0.85546875" style="9" customWidth="1"/>
    <col min="2" max="2" width="9" style="9"/>
    <col min="3" max="3" width="9.42578125" style="9" customWidth="1"/>
    <col min="4" max="4" width="10.42578125" style="9" customWidth="1"/>
    <col min="5" max="5" width="10.140625" style="9" customWidth="1"/>
    <col min="6" max="6" width="10.28515625" style="9" customWidth="1"/>
    <col min="7" max="7" width="10.85546875" style="9" customWidth="1"/>
    <col min="8" max="8" width="11.140625" style="9" customWidth="1"/>
    <col min="9" max="16384" width="9" style="9"/>
  </cols>
  <sheetData>
    <row r="2" spans="2:9" ht="16.5">
      <c r="B2" s="10" t="s">
        <v>68</v>
      </c>
      <c r="C2" s="10"/>
      <c r="D2" s="10"/>
      <c r="E2" s="10"/>
      <c r="F2" s="10"/>
      <c r="G2" s="10"/>
      <c r="H2" s="10"/>
    </row>
    <row r="4" spans="2:9">
      <c r="B4" s="9" t="s">
        <v>69</v>
      </c>
    </row>
    <row r="5" spans="2:9">
      <c r="B5" s="9" t="s">
        <v>70</v>
      </c>
    </row>
    <row r="6" spans="2:9">
      <c r="B6" s="9" t="s">
        <v>71</v>
      </c>
    </row>
    <row r="7" spans="2:9">
      <c r="B7" s="9" t="s">
        <v>72</v>
      </c>
    </row>
    <row r="9" spans="2:9">
      <c r="B9" s="11" t="s">
        <v>10</v>
      </c>
      <c r="C9" s="11" t="s">
        <v>48</v>
      </c>
      <c r="D9" s="11" t="s">
        <v>73</v>
      </c>
      <c r="E9" s="11" t="s">
        <v>74</v>
      </c>
      <c r="F9" s="11" t="s">
        <v>54</v>
      </c>
      <c r="G9" s="11" t="s">
        <v>56</v>
      </c>
      <c r="H9" s="11" t="s">
        <v>58</v>
      </c>
      <c r="I9" s="11" t="s">
        <v>75</v>
      </c>
    </row>
    <row r="10" spans="2:9" hidden="1">
      <c r="B10" s="14"/>
      <c r="C10" s="15"/>
      <c r="D10" s="14"/>
      <c r="E10" s="14"/>
      <c r="F10" s="14"/>
      <c r="G10" s="14"/>
      <c r="H10" s="14"/>
    </row>
    <row r="11" spans="2:9">
      <c r="B11" s="17" t="s">
        <v>76</v>
      </c>
      <c r="C11" s="17" t="s">
        <v>77</v>
      </c>
      <c r="D11" s="55" t="s">
        <v>78</v>
      </c>
      <c r="E11" s="55" t="s">
        <v>79</v>
      </c>
      <c r="F11" s="55" t="s">
        <v>80</v>
      </c>
      <c r="G11" s="55" t="s">
        <v>81</v>
      </c>
      <c r="H11" s="55" t="s">
        <v>82</v>
      </c>
      <c r="I11" s="79" t="s">
        <v>83</v>
      </c>
    </row>
    <row r="12" spans="2:9">
      <c r="B12" s="17" t="s">
        <v>84</v>
      </c>
      <c r="C12" s="17" t="s">
        <v>85</v>
      </c>
      <c r="D12" s="55" t="s">
        <v>86</v>
      </c>
      <c r="E12" s="55" t="s">
        <v>87</v>
      </c>
      <c r="F12" s="55" t="s">
        <v>88</v>
      </c>
      <c r="G12" s="55" t="s">
        <v>89</v>
      </c>
      <c r="H12" s="55" t="s">
        <v>90</v>
      </c>
      <c r="I12" s="12"/>
    </row>
    <row r="13" spans="2:9">
      <c r="B13" s="61"/>
      <c r="C13" s="17" t="s">
        <v>91</v>
      </c>
      <c r="D13" s="55" t="s">
        <v>92</v>
      </c>
      <c r="E13" s="55" t="s">
        <v>93</v>
      </c>
      <c r="F13" s="55" t="s">
        <v>94</v>
      </c>
      <c r="G13" s="55" t="s">
        <v>95</v>
      </c>
      <c r="H13" s="55" t="s">
        <v>96</v>
      </c>
    </row>
    <row r="14" spans="2:9">
      <c r="B14" s="61"/>
      <c r="C14" s="17" t="s">
        <v>97</v>
      </c>
      <c r="D14" s="55" t="s">
        <v>98</v>
      </c>
      <c r="E14" s="55" t="s">
        <v>99</v>
      </c>
      <c r="F14" s="55" t="s">
        <v>100</v>
      </c>
      <c r="G14" s="55" t="s">
        <v>101</v>
      </c>
      <c r="H14" s="55" t="s">
        <v>102</v>
      </c>
    </row>
    <row r="15" spans="2:9">
      <c r="B15" s="61"/>
      <c r="C15" s="17" t="s">
        <v>103</v>
      </c>
      <c r="D15" s="55" t="s">
        <v>104</v>
      </c>
      <c r="E15" s="55" t="s">
        <v>105</v>
      </c>
      <c r="F15" s="55" t="s">
        <v>106</v>
      </c>
      <c r="G15" s="55" t="s">
        <v>107</v>
      </c>
      <c r="H15" s="55" t="s">
        <v>108</v>
      </c>
    </row>
    <row r="16" spans="2:9">
      <c r="B16" s="61"/>
      <c r="C16" s="17" t="s">
        <v>109</v>
      </c>
      <c r="D16" s="55" t="s">
        <v>110</v>
      </c>
      <c r="E16" s="55" t="s">
        <v>111</v>
      </c>
      <c r="F16" s="55" t="s">
        <v>112</v>
      </c>
      <c r="G16" s="55" t="s">
        <v>113</v>
      </c>
      <c r="H16" s="55" t="s">
        <v>114</v>
      </c>
    </row>
    <row r="17" spans="2:8">
      <c r="B17" s="12"/>
      <c r="C17" s="12"/>
      <c r="D17" s="55" t="s">
        <v>115</v>
      </c>
      <c r="E17" s="55" t="s">
        <v>116</v>
      </c>
      <c r="F17" s="55" t="s">
        <v>117</v>
      </c>
      <c r="G17" s="55" t="s">
        <v>108</v>
      </c>
      <c r="H17" s="55"/>
    </row>
    <row r="18" spans="2:8">
      <c r="B18" s="12"/>
      <c r="C18" s="12"/>
      <c r="D18" s="55" t="s">
        <v>118</v>
      </c>
      <c r="E18" s="55" t="s">
        <v>119</v>
      </c>
      <c r="F18" s="55" t="s">
        <v>120</v>
      </c>
      <c r="G18" s="55" t="s">
        <v>121</v>
      </c>
      <c r="H18" s="55"/>
    </row>
    <row r="19" spans="2:8">
      <c r="B19" s="12"/>
      <c r="C19" s="12"/>
      <c r="D19" s="55" t="s">
        <v>122</v>
      </c>
      <c r="E19" s="55" t="s">
        <v>123</v>
      </c>
      <c r="F19" s="55" t="s">
        <v>124</v>
      </c>
      <c r="G19" s="55" t="s">
        <v>125</v>
      </c>
      <c r="H19" s="55"/>
    </row>
    <row r="20" spans="2:8">
      <c r="B20" s="12"/>
      <c r="C20" s="12"/>
      <c r="D20" s="55"/>
      <c r="E20" s="55" t="s">
        <v>126</v>
      </c>
      <c r="F20" s="55" t="s">
        <v>127</v>
      </c>
      <c r="G20" s="55" t="s">
        <v>128</v>
      </c>
      <c r="H20" s="55"/>
    </row>
    <row r="21" spans="2:8">
      <c r="B21" s="12"/>
      <c r="C21" s="12"/>
      <c r="D21" s="55"/>
      <c r="E21" s="55" t="s">
        <v>129</v>
      </c>
      <c r="F21" s="55" t="s">
        <v>130</v>
      </c>
      <c r="G21" s="55" t="s">
        <v>131</v>
      </c>
      <c r="H21" s="55"/>
    </row>
    <row r="22" spans="2:8">
      <c r="B22" s="12"/>
      <c r="C22" s="12"/>
      <c r="D22" s="55"/>
      <c r="E22" s="55" t="s">
        <v>132</v>
      </c>
      <c r="F22" s="55" t="s">
        <v>133</v>
      </c>
      <c r="G22" s="55" t="s">
        <v>134</v>
      </c>
      <c r="H22" s="55"/>
    </row>
    <row r="23" spans="2:8">
      <c r="B23" s="12"/>
      <c r="C23" s="12"/>
      <c r="D23" s="55"/>
      <c r="E23" s="55" t="s">
        <v>135</v>
      </c>
      <c r="F23" s="55" t="s">
        <v>136</v>
      </c>
      <c r="G23" s="55" t="s">
        <v>137</v>
      </c>
      <c r="H23" s="55"/>
    </row>
    <row r="24" spans="2:8">
      <c r="B24" s="12"/>
      <c r="C24" s="12"/>
      <c r="D24" s="55"/>
      <c r="E24" s="55" t="s">
        <v>138</v>
      </c>
      <c r="F24" s="55" t="s">
        <v>139</v>
      </c>
      <c r="G24" s="55"/>
      <c r="H24" s="55"/>
    </row>
    <row r="25" spans="2:8">
      <c r="B25" s="12"/>
      <c r="C25" s="12"/>
      <c r="D25" s="55"/>
      <c r="E25" s="55" t="s">
        <v>140</v>
      </c>
      <c r="F25" s="55" t="s">
        <v>141</v>
      </c>
      <c r="G25" s="55"/>
      <c r="H25" s="55"/>
    </row>
    <row r="26" spans="2:8">
      <c r="B26" s="12"/>
      <c r="C26" s="12"/>
      <c r="D26" s="55"/>
      <c r="E26" s="55" t="s">
        <v>142</v>
      </c>
      <c r="F26" s="55" t="s">
        <v>143</v>
      </c>
      <c r="G26" s="55"/>
      <c r="H26" s="55"/>
    </row>
    <row r="27" spans="2:8">
      <c r="B27" s="12"/>
      <c r="C27" s="12"/>
      <c r="D27" s="55"/>
      <c r="E27" s="55" t="s">
        <v>144</v>
      </c>
      <c r="F27" s="55" t="s">
        <v>145</v>
      </c>
      <c r="G27" s="55"/>
      <c r="H27" s="55"/>
    </row>
    <row r="28" spans="2:8">
      <c r="B28" s="12"/>
      <c r="C28" s="12"/>
      <c r="D28" s="55"/>
      <c r="E28" s="55" t="s">
        <v>146</v>
      </c>
      <c r="F28" s="55" t="s">
        <v>147</v>
      </c>
      <c r="G28" s="55"/>
      <c r="H28" s="55"/>
    </row>
    <row r="29" spans="2:8">
      <c r="B29" s="12"/>
      <c r="C29" s="12"/>
      <c r="D29" s="55"/>
      <c r="E29" s="55" t="s">
        <v>148</v>
      </c>
      <c r="F29" s="55" t="s">
        <v>149</v>
      </c>
      <c r="G29" s="55"/>
      <c r="H29" s="55"/>
    </row>
    <row r="30" spans="2:8">
      <c r="B30" s="12"/>
      <c r="C30" s="12"/>
      <c r="D30" s="55"/>
      <c r="E30" s="55"/>
      <c r="F30" s="55"/>
      <c r="G30" s="55"/>
      <c r="H30" s="55"/>
    </row>
  </sheetData>
  <sheetProtection password="CCE9" sheet="1" objects="1" scenarios="1"/>
  <phoneticPr fontId="2"/>
  <dataValidations disablePrompts="1" count="1">
    <dataValidation type="list" showInputMessage="1" showErrorMessage="1" sqref="F36" xr:uid="{00000000-0002-0000-0100-000000000000}">
      <formula1>$F$11:$F$28</formula1>
    </dataValidation>
  </dataValidations>
  <pageMargins left="0.75" right="0.75" top="1" bottom="1" header="0.51200000000000001" footer="0.51200000000000001"/>
  <pageSetup paperSize="9" scale="95" orientation="portrait" horizontalDpi="4294967292" verticalDpi="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V969"/>
  <sheetViews>
    <sheetView tabSelected="1" topLeftCell="A12" zoomScale="90" zoomScaleNormal="90" workbookViewId="0">
      <selection activeCell="E13" sqref="E13:O17"/>
    </sheetView>
  </sheetViews>
  <sheetFormatPr defaultRowHeight="15" customHeight="1"/>
  <cols>
    <col min="1" max="1" width="1.5703125" customWidth="1"/>
    <col min="2" max="2" width="4.5703125" customWidth="1"/>
    <col min="3" max="3" width="9.42578125" customWidth="1"/>
    <col min="4" max="4" width="6.140625" hidden="1" customWidth="1"/>
    <col min="5" max="5" width="24.7109375" customWidth="1"/>
    <col min="6" max="6" width="5.5703125" customWidth="1"/>
    <col min="7" max="7" width="5.42578125" customWidth="1"/>
    <col min="8" max="10" width="2.5703125" customWidth="1"/>
    <col min="11" max="15" width="2.85546875" customWidth="1"/>
    <col min="16" max="16" width="8.140625" customWidth="1"/>
    <col min="17" max="20" width="13.5703125" customWidth="1"/>
    <col min="22" max="22" width="9.5703125" bestFit="1" customWidth="1"/>
  </cols>
  <sheetData>
    <row r="1" spans="2:22" ht="15" customHeight="1" thickBot="1">
      <c r="R1" s="3"/>
      <c r="T1" s="50"/>
    </row>
    <row r="2" spans="2:22" ht="15" customHeight="1">
      <c r="B2" s="138" t="s">
        <v>5</v>
      </c>
      <c r="C2" s="139"/>
      <c r="D2" s="16"/>
      <c r="E2" s="74" t="s">
        <v>150</v>
      </c>
      <c r="F2" s="247" t="s">
        <v>10</v>
      </c>
      <c r="G2" s="247"/>
      <c r="H2" s="247" t="s">
        <v>151</v>
      </c>
      <c r="I2" s="247"/>
      <c r="J2" s="247"/>
      <c r="K2" s="247"/>
      <c r="L2" s="247"/>
      <c r="M2" s="247"/>
      <c r="N2" s="247"/>
      <c r="O2" s="155"/>
      <c r="P2" s="62" t="s">
        <v>15</v>
      </c>
      <c r="Q2" s="212" t="s">
        <v>32</v>
      </c>
      <c r="R2" s="213"/>
      <c r="S2" s="213"/>
      <c r="T2" s="242"/>
    </row>
    <row r="3" spans="2:22" ht="15" customHeight="1" thickBot="1">
      <c r="B3" s="140" t="s">
        <v>152</v>
      </c>
      <c r="C3" s="141"/>
      <c r="D3" s="38"/>
      <c r="E3" s="75" t="s">
        <v>153</v>
      </c>
      <c r="F3" s="248" t="s">
        <v>154</v>
      </c>
      <c r="G3" s="248"/>
      <c r="H3" s="260">
        <v>38714</v>
      </c>
      <c r="I3" s="261"/>
      <c r="J3" s="261"/>
      <c r="K3" s="261"/>
      <c r="L3" s="261"/>
      <c r="M3" s="261"/>
      <c r="N3" s="261"/>
      <c r="O3" s="262"/>
      <c r="P3" s="71" t="str">
        <f ca="1">IF(H3="",0,DATEDIF(H3,TODAY(),"y"))&amp;"歳"</f>
        <v>20歳</v>
      </c>
      <c r="Q3" s="216"/>
      <c r="R3" s="217"/>
      <c r="S3" s="217"/>
      <c r="T3" s="243"/>
    </row>
    <row r="4" spans="2:22" ht="15" customHeight="1">
      <c r="B4" s="145" t="s">
        <v>155</v>
      </c>
      <c r="C4" s="146"/>
      <c r="D4" s="2"/>
      <c r="E4" s="253" t="s">
        <v>156</v>
      </c>
      <c r="F4" s="255"/>
      <c r="G4" s="256"/>
      <c r="H4" s="253" t="s">
        <v>157</v>
      </c>
      <c r="I4" s="254"/>
      <c r="J4" s="254"/>
      <c r="K4" s="254"/>
      <c r="L4" s="254"/>
      <c r="M4" s="254"/>
      <c r="N4" s="254"/>
      <c r="O4" s="254"/>
      <c r="P4" s="83" t="s">
        <v>158</v>
      </c>
      <c r="Q4" s="80" t="str">
        <f>選択リスト一覧!C11</f>
        <v>PM</v>
      </c>
      <c r="R4" s="81" t="str">
        <f>選択リスト一覧!C12</f>
        <v>PL</v>
      </c>
      <c r="S4" s="81" t="str">
        <f>選択リスト一覧!C13</f>
        <v>SL</v>
      </c>
      <c r="T4" s="82" t="str">
        <f>選択リスト一覧!C14</f>
        <v>SE</v>
      </c>
    </row>
    <row r="5" spans="2:22" ht="15" customHeight="1">
      <c r="B5" s="147"/>
      <c r="C5" s="148"/>
      <c r="D5" s="2"/>
      <c r="E5" s="249" t="s">
        <v>159</v>
      </c>
      <c r="F5" s="250"/>
      <c r="G5" s="257"/>
      <c r="H5" s="249" t="s">
        <v>160</v>
      </c>
      <c r="I5" s="250"/>
      <c r="J5" s="250"/>
      <c r="K5" s="250"/>
      <c r="L5" s="250"/>
      <c r="M5" s="250"/>
      <c r="N5" s="250"/>
      <c r="O5" s="250"/>
      <c r="P5" s="84">
        <v>2026</v>
      </c>
      <c r="Q5" s="65">
        <f>SUMIF(P24:P719,Q4,D24:D719)/12</f>
        <v>0</v>
      </c>
      <c r="R5" s="66">
        <f>SUMIF(P24:P719,R4,D24:D719)/12</f>
        <v>0</v>
      </c>
      <c r="S5" s="66">
        <f>SUMIF(P24:P719,S4,D24:D719)/12</f>
        <v>0</v>
      </c>
      <c r="T5" s="67">
        <f>SUMIF(P24:P719,T4,D24:D719)/12</f>
        <v>0</v>
      </c>
      <c r="V5" s="51"/>
    </row>
    <row r="6" spans="2:22" ht="15" customHeight="1" thickBot="1">
      <c r="B6" s="147"/>
      <c r="C6" s="148"/>
      <c r="D6" s="2"/>
      <c r="E6" s="251"/>
      <c r="F6" s="252"/>
      <c r="G6" s="258"/>
      <c r="H6" s="251"/>
      <c r="I6" s="252"/>
      <c r="J6" s="252"/>
      <c r="K6" s="252"/>
      <c r="L6" s="252"/>
      <c r="M6" s="252"/>
      <c r="N6" s="252"/>
      <c r="O6" s="252"/>
      <c r="P6" s="84"/>
      <c r="Q6" s="52" t="str">
        <f>選択リスト一覧!C15</f>
        <v>PG</v>
      </c>
      <c r="R6" s="44" t="str">
        <f>選択リスト一覧!C16</f>
        <v>－</v>
      </c>
      <c r="S6" s="44" t="s">
        <v>161</v>
      </c>
      <c r="T6" s="53" t="s">
        <v>162</v>
      </c>
    </row>
    <row r="7" spans="2:22" ht="15" customHeight="1" thickBot="1">
      <c r="B7" s="149"/>
      <c r="C7" s="150"/>
      <c r="D7" s="88"/>
      <c r="E7" s="142"/>
      <c r="F7" s="143"/>
      <c r="G7" s="144"/>
      <c r="H7" s="142"/>
      <c r="I7" s="143"/>
      <c r="J7" s="143"/>
      <c r="K7" s="143"/>
      <c r="L7" s="143"/>
      <c r="M7" s="143"/>
      <c r="N7" s="143"/>
      <c r="O7" s="143"/>
      <c r="P7" s="85"/>
      <c r="Q7" s="68">
        <f>SUMIF(P24:P719,Q6,D24:D719)/12</f>
        <v>0</v>
      </c>
      <c r="R7" s="69">
        <f>SUMIF(P24:P719,R6,D24:D719)/12</f>
        <v>0</v>
      </c>
      <c r="S7" s="69">
        <f>T7-(Q5+R5+S5+T5+Q7+R7)</f>
        <v>0</v>
      </c>
      <c r="T7" s="70">
        <f>SUM(D24:D45)/12</f>
        <v>0</v>
      </c>
    </row>
    <row r="8" spans="2:22" ht="15" customHeight="1">
      <c r="B8" s="147" t="s">
        <v>163</v>
      </c>
      <c r="C8" s="148"/>
      <c r="D8" s="34"/>
      <c r="E8" s="155" t="s">
        <v>164</v>
      </c>
      <c r="F8" s="156"/>
      <c r="G8" s="157"/>
      <c r="H8" s="151" t="s">
        <v>165</v>
      </c>
      <c r="I8" s="152"/>
      <c r="J8" s="154"/>
      <c r="K8" s="151" t="s">
        <v>166</v>
      </c>
      <c r="L8" s="152"/>
      <c r="M8" s="152"/>
      <c r="N8" s="152"/>
      <c r="O8" s="153"/>
      <c r="P8" s="115" t="s">
        <v>167</v>
      </c>
      <c r="Q8" s="87" t="s">
        <v>168</v>
      </c>
      <c r="R8" s="56" t="s">
        <v>169</v>
      </c>
      <c r="S8" s="59" t="s">
        <v>170</v>
      </c>
      <c r="T8" s="60" t="s">
        <v>171</v>
      </c>
    </row>
    <row r="9" spans="2:22" ht="15" customHeight="1" thickBot="1">
      <c r="B9" s="147"/>
      <c r="C9" s="148"/>
      <c r="D9" s="34"/>
      <c r="E9" s="129" t="s">
        <v>172</v>
      </c>
      <c r="F9" s="130"/>
      <c r="G9" s="131"/>
      <c r="H9" s="117" t="s">
        <v>173</v>
      </c>
      <c r="I9" s="117"/>
      <c r="J9" s="117"/>
      <c r="K9" s="118" t="s">
        <v>174</v>
      </c>
      <c r="L9" s="118"/>
      <c r="M9" s="118"/>
      <c r="N9" s="118"/>
      <c r="O9" s="119"/>
      <c r="P9" s="116"/>
      <c r="Q9" s="44" t="s">
        <v>175</v>
      </c>
      <c r="R9" s="57" t="s">
        <v>176</v>
      </c>
      <c r="S9" s="58" t="s">
        <v>177</v>
      </c>
      <c r="T9" s="64" t="s">
        <v>171</v>
      </c>
    </row>
    <row r="10" spans="2:22" ht="15" customHeight="1">
      <c r="B10" s="147"/>
      <c r="C10" s="148"/>
      <c r="D10" s="34"/>
      <c r="E10" s="129" t="s">
        <v>178</v>
      </c>
      <c r="F10" s="130"/>
      <c r="G10" s="131"/>
      <c r="H10" s="117" t="s">
        <v>173</v>
      </c>
      <c r="I10" s="117"/>
      <c r="J10" s="117"/>
      <c r="K10" s="118">
        <v>45413</v>
      </c>
      <c r="L10" s="118"/>
      <c r="M10" s="118"/>
      <c r="N10" s="118"/>
      <c r="O10" s="119"/>
      <c r="P10" s="158" t="s">
        <v>179</v>
      </c>
      <c r="Q10" s="87" t="s">
        <v>73</v>
      </c>
      <c r="R10" s="120" t="s">
        <v>180</v>
      </c>
      <c r="S10" s="121"/>
      <c r="T10" s="122"/>
    </row>
    <row r="11" spans="2:22" ht="15" customHeight="1">
      <c r="B11" s="147"/>
      <c r="C11" s="148"/>
      <c r="D11" s="34"/>
      <c r="E11" s="129"/>
      <c r="F11" s="130"/>
      <c r="G11" s="131"/>
      <c r="H11" s="117"/>
      <c r="I11" s="117"/>
      <c r="J11" s="117"/>
      <c r="K11" s="118"/>
      <c r="L11" s="118"/>
      <c r="M11" s="118"/>
      <c r="N11" s="118"/>
      <c r="O11" s="119"/>
      <c r="P11" s="159"/>
      <c r="Q11" s="63" t="s">
        <v>181</v>
      </c>
      <c r="R11" s="244" t="s">
        <v>182</v>
      </c>
      <c r="S11" s="245"/>
      <c r="T11" s="246"/>
    </row>
    <row r="12" spans="2:22" ht="15" customHeight="1" thickBot="1">
      <c r="B12" s="149"/>
      <c r="C12" s="150"/>
      <c r="D12" s="34"/>
      <c r="E12" s="129"/>
      <c r="F12" s="130"/>
      <c r="G12" s="131"/>
      <c r="H12" s="117"/>
      <c r="I12" s="117"/>
      <c r="J12" s="117"/>
      <c r="K12" s="118"/>
      <c r="L12" s="118"/>
      <c r="M12" s="118"/>
      <c r="N12" s="118"/>
      <c r="O12" s="119"/>
      <c r="P12" s="159"/>
      <c r="Q12" s="173" t="s">
        <v>54</v>
      </c>
      <c r="R12" s="167" t="s">
        <v>183</v>
      </c>
      <c r="S12" s="168"/>
      <c r="T12" s="169"/>
    </row>
    <row r="13" spans="2:22" ht="15" customHeight="1">
      <c r="B13" s="212" t="s">
        <v>184</v>
      </c>
      <c r="C13" s="213"/>
      <c r="D13" s="88"/>
      <c r="E13" s="194" t="s">
        <v>185</v>
      </c>
      <c r="F13" s="195"/>
      <c r="G13" s="195"/>
      <c r="H13" s="195"/>
      <c r="I13" s="195"/>
      <c r="J13" s="195"/>
      <c r="K13" s="195"/>
      <c r="L13" s="195"/>
      <c r="M13" s="195"/>
      <c r="N13" s="195"/>
      <c r="O13" s="196"/>
      <c r="P13" s="159"/>
      <c r="Q13" s="174"/>
      <c r="R13" s="164"/>
      <c r="S13" s="165"/>
      <c r="T13" s="166"/>
    </row>
    <row r="14" spans="2:22" ht="16.5" customHeight="1">
      <c r="B14" s="214"/>
      <c r="C14" s="215"/>
      <c r="D14" s="34"/>
      <c r="E14" s="197"/>
      <c r="F14" s="198"/>
      <c r="G14" s="198"/>
      <c r="H14" s="198"/>
      <c r="I14" s="198"/>
      <c r="J14" s="198"/>
      <c r="K14" s="198"/>
      <c r="L14" s="198"/>
      <c r="M14" s="198"/>
      <c r="N14" s="198"/>
      <c r="O14" s="199"/>
      <c r="P14" s="159"/>
      <c r="Q14" s="173" t="s">
        <v>56</v>
      </c>
      <c r="R14" s="161" t="s">
        <v>186</v>
      </c>
      <c r="S14" s="162"/>
      <c r="T14" s="163"/>
    </row>
    <row r="15" spans="2:22" ht="15.75" customHeight="1">
      <c r="B15" s="214"/>
      <c r="C15" s="215"/>
      <c r="D15" s="34"/>
      <c r="E15" s="197"/>
      <c r="F15" s="198"/>
      <c r="G15" s="198"/>
      <c r="H15" s="198"/>
      <c r="I15" s="198"/>
      <c r="J15" s="198"/>
      <c r="K15" s="198"/>
      <c r="L15" s="198"/>
      <c r="M15" s="198"/>
      <c r="N15" s="198"/>
      <c r="O15" s="199"/>
      <c r="P15" s="159"/>
      <c r="Q15" s="174"/>
      <c r="R15" s="164"/>
      <c r="S15" s="165"/>
      <c r="T15" s="166"/>
    </row>
    <row r="16" spans="2:22" ht="15" customHeight="1">
      <c r="B16" s="214"/>
      <c r="C16" s="215"/>
      <c r="D16" s="34"/>
      <c r="E16" s="197"/>
      <c r="F16" s="198"/>
      <c r="G16" s="198"/>
      <c r="H16" s="198"/>
      <c r="I16" s="198"/>
      <c r="J16" s="198"/>
      <c r="K16" s="198"/>
      <c r="L16" s="198"/>
      <c r="M16" s="198"/>
      <c r="N16" s="198"/>
      <c r="O16" s="199"/>
      <c r="P16" s="159"/>
      <c r="Q16" s="173" t="s">
        <v>58</v>
      </c>
      <c r="R16" s="167" t="s">
        <v>187</v>
      </c>
      <c r="S16" s="168"/>
      <c r="T16" s="169"/>
    </row>
    <row r="17" spans="2:20" ht="318" customHeight="1" thickBot="1">
      <c r="B17" s="216"/>
      <c r="C17" s="217"/>
      <c r="D17" s="76"/>
      <c r="E17" s="200"/>
      <c r="F17" s="201"/>
      <c r="G17" s="201"/>
      <c r="H17" s="201"/>
      <c r="I17" s="201"/>
      <c r="J17" s="201"/>
      <c r="K17" s="201"/>
      <c r="L17" s="201"/>
      <c r="M17" s="201"/>
      <c r="N17" s="201"/>
      <c r="O17" s="202"/>
      <c r="P17" s="160"/>
      <c r="Q17" s="175"/>
      <c r="R17" s="170"/>
      <c r="S17" s="171"/>
      <c r="T17" s="172"/>
    </row>
    <row r="18" spans="2:20" ht="15" customHeight="1">
      <c r="B18" s="33"/>
      <c r="C18" s="33"/>
      <c r="D18" s="34"/>
      <c r="E18" s="9" t="s">
        <v>188</v>
      </c>
      <c r="F18" s="9"/>
      <c r="G18" s="9"/>
      <c r="H18" s="9"/>
      <c r="I18" s="9"/>
      <c r="J18" s="9"/>
      <c r="K18" s="9"/>
      <c r="L18" s="9"/>
      <c r="M18" s="9"/>
      <c r="N18" s="9"/>
      <c r="O18" s="9"/>
      <c r="R18" s="9"/>
      <c r="S18" s="9"/>
      <c r="T18" s="9"/>
    </row>
    <row r="19" spans="2:20" ht="15" customHeight="1" thickBot="1">
      <c r="C19" s="35"/>
      <c r="H19" s="179" t="s">
        <v>189</v>
      </c>
      <c r="I19" s="179"/>
      <c r="J19" s="179"/>
      <c r="K19" s="179"/>
      <c r="L19" s="179"/>
      <c r="M19" s="179"/>
      <c r="N19" s="179"/>
      <c r="O19" s="179"/>
      <c r="P19" s="179"/>
      <c r="Q19" s="179"/>
    </row>
    <row r="20" spans="2:20" ht="15" customHeight="1">
      <c r="B20" s="208" t="s">
        <v>1</v>
      </c>
      <c r="C20" s="45" t="s">
        <v>36</v>
      </c>
      <c r="D20" s="219" t="s">
        <v>190</v>
      </c>
      <c r="E20" s="126" t="s">
        <v>44</v>
      </c>
      <c r="F20" s="127"/>
      <c r="G20" s="128"/>
      <c r="H20" s="155" t="s">
        <v>75</v>
      </c>
      <c r="I20" s="156"/>
      <c r="J20" s="156"/>
      <c r="K20" s="156"/>
      <c r="L20" s="156"/>
      <c r="M20" s="156"/>
      <c r="N20" s="156"/>
      <c r="O20" s="157"/>
      <c r="P20" s="176" t="s">
        <v>48</v>
      </c>
      <c r="Q20" s="176" t="s">
        <v>52</v>
      </c>
      <c r="R20" s="176" t="s">
        <v>54</v>
      </c>
      <c r="S20" s="176" t="s">
        <v>56</v>
      </c>
      <c r="T20" s="123" t="s">
        <v>58</v>
      </c>
    </row>
    <row r="21" spans="2:20" ht="15" customHeight="1">
      <c r="B21" s="209"/>
      <c r="C21" s="46" t="s">
        <v>191</v>
      </c>
      <c r="D21" s="220"/>
      <c r="E21" s="132" t="s">
        <v>46</v>
      </c>
      <c r="F21" s="133"/>
      <c r="G21" s="134"/>
      <c r="H21" s="191" t="s">
        <v>192</v>
      </c>
      <c r="I21" s="204" t="s">
        <v>193</v>
      </c>
      <c r="J21" s="205"/>
      <c r="K21" s="191" t="s">
        <v>194</v>
      </c>
      <c r="L21" s="185" t="s">
        <v>195</v>
      </c>
      <c r="M21" s="185" t="s">
        <v>196</v>
      </c>
      <c r="N21" s="188" t="s">
        <v>197</v>
      </c>
      <c r="O21" s="191" t="s">
        <v>198</v>
      </c>
      <c r="P21" s="218"/>
      <c r="Q21" s="177"/>
      <c r="R21" s="177"/>
      <c r="S21" s="177"/>
      <c r="T21" s="124"/>
    </row>
    <row r="22" spans="2:20" ht="15" customHeight="1">
      <c r="B22" s="209"/>
      <c r="C22" s="211" t="s">
        <v>40</v>
      </c>
      <c r="D22" s="221"/>
      <c r="E22" s="132"/>
      <c r="F22" s="133"/>
      <c r="G22" s="134"/>
      <c r="H22" s="192"/>
      <c r="I22" s="183" t="s">
        <v>199</v>
      </c>
      <c r="J22" s="183" t="s">
        <v>200</v>
      </c>
      <c r="K22" s="192"/>
      <c r="L22" s="186"/>
      <c r="M22" s="186"/>
      <c r="N22" s="189"/>
      <c r="O22" s="192"/>
      <c r="P22" s="211" t="s">
        <v>50</v>
      </c>
      <c r="Q22" s="177"/>
      <c r="R22" s="177"/>
      <c r="S22" s="177"/>
      <c r="T22" s="124"/>
    </row>
    <row r="23" spans="2:20" ht="23.25" customHeight="1" thickBot="1">
      <c r="B23" s="210"/>
      <c r="C23" s="175"/>
      <c r="D23" s="47"/>
      <c r="E23" s="135"/>
      <c r="F23" s="136"/>
      <c r="G23" s="137"/>
      <c r="H23" s="193"/>
      <c r="I23" s="184"/>
      <c r="J23" s="184"/>
      <c r="K23" s="193"/>
      <c r="L23" s="187"/>
      <c r="M23" s="187"/>
      <c r="N23" s="190"/>
      <c r="O23" s="193"/>
      <c r="P23" s="175"/>
      <c r="Q23" s="178"/>
      <c r="R23" s="178"/>
      <c r="S23" s="178"/>
      <c r="T23" s="125"/>
    </row>
    <row r="24" spans="2:20" ht="15" customHeight="1">
      <c r="B24" s="206">
        <v>1</v>
      </c>
      <c r="C24" s="72"/>
      <c r="D24" s="222">
        <f>IF(C25="",0,DATEDIF(C24,C25,"m")+1)</f>
        <v>0</v>
      </c>
      <c r="E24" s="180"/>
      <c r="F24" s="181"/>
      <c r="G24" s="182"/>
      <c r="H24" s="94"/>
      <c r="I24" s="203" t="s">
        <v>201</v>
      </c>
      <c r="J24" s="203" t="s">
        <v>201</v>
      </c>
      <c r="K24" s="203" t="s">
        <v>201</v>
      </c>
      <c r="L24" s="203" t="s">
        <v>201</v>
      </c>
      <c r="M24" s="203" t="s">
        <v>201</v>
      </c>
      <c r="N24" s="94"/>
      <c r="O24" s="94"/>
      <c r="P24" s="227" t="s">
        <v>202</v>
      </c>
      <c r="Q24" s="54" t="s">
        <v>203</v>
      </c>
      <c r="R24" s="18" t="s">
        <v>204</v>
      </c>
      <c r="S24" s="18" t="s">
        <v>205</v>
      </c>
      <c r="T24" s="19" t="s">
        <v>206</v>
      </c>
    </row>
    <row r="25" spans="2:20" ht="15" customHeight="1">
      <c r="B25" s="207"/>
      <c r="C25" s="36"/>
      <c r="D25" s="223"/>
      <c r="E25" s="100"/>
      <c r="F25" s="101"/>
      <c r="G25" s="102"/>
      <c r="H25" s="95"/>
      <c r="I25" s="95"/>
      <c r="J25" s="95"/>
      <c r="K25" s="95"/>
      <c r="L25" s="95"/>
      <c r="M25" s="95"/>
      <c r="N25" s="95"/>
      <c r="O25" s="95"/>
      <c r="P25" s="228"/>
      <c r="Q25" s="18" t="s">
        <v>207</v>
      </c>
      <c r="R25" s="18" t="s">
        <v>208</v>
      </c>
      <c r="S25" s="18"/>
      <c r="T25" s="19" t="s">
        <v>209</v>
      </c>
    </row>
    <row r="26" spans="2:20" ht="15" customHeight="1">
      <c r="B26" s="207"/>
      <c r="C26" s="92" t="str">
        <f>IF(C25="","",INT(D24/12)&amp;"年"&amp;MOD(D24,12)&amp;"ヶ月")</f>
        <v/>
      </c>
      <c r="D26" s="223"/>
      <c r="E26" s="103"/>
      <c r="F26" s="104"/>
      <c r="G26" s="105"/>
      <c r="H26" s="95"/>
      <c r="I26" s="95"/>
      <c r="J26" s="95"/>
      <c r="K26" s="95"/>
      <c r="L26" s="95"/>
      <c r="M26" s="95"/>
      <c r="N26" s="95"/>
      <c r="O26" s="95"/>
      <c r="P26" s="229">
        <v>2</v>
      </c>
      <c r="Q26" s="18"/>
      <c r="R26" s="18" t="s">
        <v>210</v>
      </c>
      <c r="S26" s="18"/>
      <c r="T26" s="19" t="s">
        <v>211</v>
      </c>
    </row>
    <row r="27" spans="2:20" ht="154.5" customHeight="1">
      <c r="B27" s="207"/>
      <c r="C27" s="93"/>
      <c r="D27" s="48"/>
      <c r="E27" s="106"/>
      <c r="F27" s="107"/>
      <c r="G27" s="108"/>
      <c r="H27" s="96"/>
      <c r="I27" s="96"/>
      <c r="J27" s="96"/>
      <c r="K27" s="95"/>
      <c r="L27" s="95"/>
      <c r="M27" s="95"/>
      <c r="N27" s="95"/>
      <c r="O27" s="96"/>
      <c r="P27" s="230"/>
      <c r="Q27" s="20" t="s">
        <v>212</v>
      </c>
      <c r="R27" s="20" t="s">
        <v>204</v>
      </c>
      <c r="S27" s="20"/>
      <c r="T27" s="21" t="s">
        <v>206</v>
      </c>
    </row>
    <row r="28" spans="2:20" ht="15" customHeight="1">
      <c r="B28" s="89">
        <v>2</v>
      </c>
      <c r="C28" s="73"/>
      <c r="D28" s="112"/>
      <c r="E28" s="109"/>
      <c r="F28" s="110"/>
      <c r="G28" s="111"/>
      <c r="H28" s="94"/>
      <c r="I28" s="94"/>
      <c r="J28" s="94"/>
      <c r="K28" s="94"/>
      <c r="L28" s="94"/>
      <c r="M28" s="94"/>
      <c r="N28" s="94"/>
      <c r="O28" s="94"/>
      <c r="P28" s="94"/>
      <c r="Q28" s="54"/>
      <c r="R28" s="18"/>
      <c r="S28" s="18"/>
      <c r="T28" s="19"/>
    </row>
    <row r="29" spans="2:20" ht="15" customHeight="1">
      <c r="B29" s="90"/>
      <c r="C29" s="78"/>
      <c r="D29" s="113"/>
      <c r="E29" s="100"/>
      <c r="F29" s="101"/>
      <c r="G29" s="102"/>
      <c r="H29" s="95"/>
      <c r="I29" s="95"/>
      <c r="J29" s="95"/>
      <c r="K29" s="95"/>
      <c r="L29" s="95"/>
      <c r="M29" s="95"/>
      <c r="N29" s="95"/>
      <c r="O29" s="95"/>
      <c r="P29" s="97"/>
      <c r="Q29" s="18"/>
      <c r="R29" s="18"/>
      <c r="S29" s="18"/>
      <c r="T29" s="19"/>
    </row>
    <row r="30" spans="2:20" ht="15" customHeight="1">
      <c r="B30" s="90"/>
      <c r="C30" s="92"/>
      <c r="D30" s="114"/>
      <c r="E30" s="103"/>
      <c r="F30" s="104"/>
      <c r="G30" s="105"/>
      <c r="H30" s="95"/>
      <c r="I30" s="95"/>
      <c r="J30" s="95"/>
      <c r="K30" s="95"/>
      <c r="L30" s="95"/>
      <c r="M30" s="95"/>
      <c r="N30" s="95"/>
      <c r="O30" s="95"/>
      <c r="P30" s="98"/>
      <c r="Q30" s="18"/>
      <c r="R30" s="18"/>
      <c r="S30" s="18"/>
      <c r="T30" s="19"/>
    </row>
    <row r="31" spans="2:20" ht="12.95">
      <c r="B31" s="91"/>
      <c r="C31" s="93"/>
      <c r="D31" s="48"/>
      <c r="E31" s="106"/>
      <c r="F31" s="107"/>
      <c r="G31" s="108"/>
      <c r="H31" s="96"/>
      <c r="I31" s="96"/>
      <c r="J31" s="96"/>
      <c r="K31" s="96"/>
      <c r="L31" s="96"/>
      <c r="M31" s="96"/>
      <c r="N31" s="96"/>
      <c r="O31" s="96"/>
      <c r="P31" s="99"/>
      <c r="Q31" s="20"/>
      <c r="R31" s="86"/>
      <c r="S31" s="20"/>
      <c r="T31" s="21"/>
    </row>
    <row r="32" spans="2:20" ht="15" customHeight="1">
      <c r="B32" s="89">
        <v>3</v>
      </c>
      <c r="C32" s="73"/>
      <c r="D32" s="112"/>
      <c r="E32" s="109"/>
      <c r="F32" s="110"/>
      <c r="G32" s="111"/>
      <c r="H32" s="94"/>
      <c r="I32" s="94"/>
      <c r="J32" s="94"/>
      <c r="K32" s="94"/>
      <c r="L32" s="94"/>
      <c r="M32" s="94"/>
      <c r="N32" s="94"/>
      <c r="O32" s="94"/>
      <c r="P32" s="94"/>
      <c r="Q32" s="18"/>
      <c r="R32" s="18"/>
      <c r="S32" s="18"/>
      <c r="T32" s="19"/>
    </row>
    <row r="33" spans="2:20" ht="15" customHeight="1">
      <c r="B33" s="90"/>
      <c r="C33" s="78"/>
      <c r="D33" s="113"/>
      <c r="E33" s="100"/>
      <c r="F33" s="101"/>
      <c r="G33" s="102"/>
      <c r="H33" s="95"/>
      <c r="I33" s="95"/>
      <c r="J33" s="95"/>
      <c r="K33" s="95"/>
      <c r="L33" s="95"/>
      <c r="M33" s="95"/>
      <c r="N33" s="95"/>
      <c r="O33" s="95"/>
      <c r="P33" s="97"/>
      <c r="Q33" s="18"/>
      <c r="R33" s="18"/>
      <c r="S33" s="18"/>
      <c r="T33" s="19"/>
    </row>
    <row r="34" spans="2:20" ht="15" customHeight="1">
      <c r="B34" s="90"/>
      <c r="C34" s="92"/>
      <c r="D34" s="114"/>
      <c r="E34" s="103"/>
      <c r="F34" s="104"/>
      <c r="G34" s="105"/>
      <c r="H34" s="95"/>
      <c r="I34" s="95"/>
      <c r="J34" s="95"/>
      <c r="K34" s="95"/>
      <c r="L34" s="95"/>
      <c r="M34" s="95"/>
      <c r="N34" s="95"/>
      <c r="O34" s="95"/>
      <c r="P34" s="98"/>
      <c r="Q34" s="18"/>
      <c r="R34" s="18"/>
      <c r="S34" s="18"/>
      <c r="T34" s="19"/>
    </row>
    <row r="35" spans="2:20" ht="12.95">
      <c r="B35" s="91"/>
      <c r="C35" s="93"/>
      <c r="D35" s="48"/>
      <c r="E35" s="106"/>
      <c r="F35" s="107"/>
      <c r="G35" s="108"/>
      <c r="H35" s="96"/>
      <c r="I35" s="96"/>
      <c r="J35" s="96"/>
      <c r="K35" s="96"/>
      <c r="L35" s="96"/>
      <c r="M35" s="96"/>
      <c r="N35" s="96"/>
      <c r="O35" s="96"/>
      <c r="P35" s="99"/>
      <c r="Q35" s="20"/>
      <c r="R35" s="20"/>
      <c r="S35" s="20"/>
      <c r="T35" s="21"/>
    </row>
    <row r="36" spans="2:20" s="9" customFormat="1" ht="15" hidden="1" customHeight="1">
      <c r="B36" s="91">
        <v>29</v>
      </c>
      <c r="C36" s="77"/>
      <c r="D36" s="114">
        <f>IF(C37="",0,DATEDIF(C36,C37,"m")+1)</f>
        <v>0</v>
      </c>
      <c r="E36" s="233"/>
      <c r="F36" s="234"/>
      <c r="G36" s="234"/>
      <c r="H36" s="94"/>
      <c r="I36" s="94"/>
      <c r="J36" s="94"/>
      <c r="K36" s="94"/>
      <c r="L36" s="94"/>
      <c r="M36" s="94"/>
      <c r="N36" s="94"/>
      <c r="O36" s="94"/>
      <c r="P36" s="231"/>
      <c r="Q36" s="18"/>
      <c r="R36" s="18"/>
      <c r="S36" s="18"/>
      <c r="T36" s="19"/>
    </row>
    <row r="37" spans="2:20" s="9" customFormat="1" ht="15" hidden="1" customHeight="1">
      <c r="B37" s="207"/>
      <c r="C37" s="36"/>
      <c r="D37" s="232"/>
      <c r="E37" s="100"/>
      <c r="F37" s="101"/>
      <c r="G37" s="102"/>
      <c r="H37" s="95"/>
      <c r="I37" s="95"/>
      <c r="J37" s="95"/>
      <c r="K37" s="95"/>
      <c r="L37" s="95"/>
      <c r="M37" s="95"/>
      <c r="N37" s="95"/>
      <c r="O37" s="95"/>
      <c r="P37" s="228"/>
      <c r="Q37" s="18"/>
      <c r="R37" s="18"/>
      <c r="S37" s="18"/>
      <c r="T37" s="19"/>
    </row>
    <row r="38" spans="2:20" s="9" customFormat="1" ht="15" hidden="1" customHeight="1">
      <c r="B38" s="207"/>
      <c r="C38" s="92" t="str">
        <f>IF(C37="","",INT(D36/12)&amp;"年"&amp;MOD(D36,12)&amp;"ヶ月")</f>
        <v/>
      </c>
      <c r="D38" s="232"/>
      <c r="E38" s="103"/>
      <c r="F38" s="104"/>
      <c r="G38" s="105"/>
      <c r="H38" s="95"/>
      <c r="I38" s="95"/>
      <c r="J38" s="95"/>
      <c r="K38" s="95"/>
      <c r="L38" s="95"/>
      <c r="M38" s="95"/>
      <c r="N38" s="95"/>
      <c r="O38" s="95"/>
      <c r="P38" s="239"/>
      <c r="Q38" s="18"/>
      <c r="R38" s="18"/>
      <c r="S38" s="18"/>
      <c r="T38" s="19"/>
    </row>
    <row r="39" spans="2:20" s="9" customFormat="1" ht="15" hidden="1" customHeight="1">
      <c r="B39" s="207"/>
      <c r="C39" s="93"/>
      <c r="D39" s="48"/>
      <c r="E39" s="106"/>
      <c r="F39" s="107"/>
      <c r="G39" s="108"/>
      <c r="H39" s="96"/>
      <c r="I39" s="96"/>
      <c r="J39" s="96"/>
      <c r="K39" s="96"/>
      <c r="L39" s="96"/>
      <c r="M39" s="96"/>
      <c r="N39" s="96"/>
      <c r="O39" s="96"/>
      <c r="P39" s="240"/>
      <c r="Q39" s="20"/>
      <c r="R39" s="20"/>
      <c r="S39" s="20"/>
      <c r="T39" s="21"/>
    </row>
    <row r="40" spans="2:20" s="9" customFormat="1" ht="15" hidden="1" customHeight="1">
      <c r="B40" s="207">
        <v>30</v>
      </c>
      <c r="C40" s="37"/>
      <c r="D40" s="222">
        <f>IF(C41="",0,DATEDIF(C40,C41,"m")+1)</f>
        <v>0</v>
      </c>
      <c r="E40" s="109"/>
      <c r="F40" s="110"/>
      <c r="G40" s="111"/>
      <c r="H40" s="94"/>
      <c r="I40" s="94"/>
      <c r="J40" s="94"/>
      <c r="K40" s="94"/>
      <c r="L40" s="94"/>
      <c r="M40" s="94"/>
      <c r="N40" s="94"/>
      <c r="O40" s="94"/>
      <c r="P40" s="225"/>
      <c r="Q40" s="40"/>
      <c r="R40" s="40"/>
      <c r="S40" s="40"/>
      <c r="T40" s="41"/>
    </row>
    <row r="41" spans="2:20" s="9" customFormat="1" ht="15" hidden="1" customHeight="1">
      <c r="B41" s="207"/>
      <c r="C41" s="36"/>
      <c r="D41" s="232"/>
      <c r="E41" s="100"/>
      <c r="F41" s="101"/>
      <c r="G41" s="102"/>
      <c r="H41" s="95"/>
      <c r="I41" s="95"/>
      <c r="J41" s="95"/>
      <c r="K41" s="95"/>
      <c r="L41" s="95"/>
      <c r="M41" s="95"/>
      <c r="N41" s="95"/>
      <c r="O41" s="95"/>
      <c r="P41" s="226"/>
      <c r="Q41" s="18"/>
      <c r="R41" s="18"/>
      <c r="S41" s="18"/>
      <c r="T41" s="19"/>
    </row>
    <row r="42" spans="2:20" s="9" customFormat="1" ht="15" hidden="1" customHeight="1">
      <c r="B42" s="207"/>
      <c r="C42" s="92" t="str">
        <f>IF(C41="","",INT(D40/12)&amp;"年"&amp;MOD(D40,12)&amp;"ヶ月")</f>
        <v/>
      </c>
      <c r="D42" s="232"/>
      <c r="E42" s="103"/>
      <c r="F42" s="104"/>
      <c r="G42" s="105"/>
      <c r="H42" s="95"/>
      <c r="I42" s="95"/>
      <c r="J42" s="95"/>
      <c r="K42" s="95"/>
      <c r="L42" s="95"/>
      <c r="M42" s="95"/>
      <c r="N42" s="95"/>
      <c r="O42" s="95"/>
      <c r="P42" s="229"/>
      <c r="Q42" s="18"/>
      <c r="R42" s="18"/>
      <c r="S42" s="18"/>
      <c r="T42" s="19"/>
    </row>
    <row r="43" spans="2:20" s="9" customFormat="1" ht="15" hidden="1" customHeight="1" thickBot="1">
      <c r="B43" s="235"/>
      <c r="C43" s="241"/>
      <c r="D43" s="49"/>
      <c r="E43" s="236"/>
      <c r="F43" s="237"/>
      <c r="G43" s="238"/>
      <c r="H43" s="224"/>
      <c r="I43" s="224"/>
      <c r="J43" s="224"/>
      <c r="K43" s="224"/>
      <c r="L43" s="224"/>
      <c r="M43" s="224"/>
      <c r="N43" s="224"/>
      <c r="O43" s="224"/>
      <c r="P43" s="259"/>
      <c r="Q43" s="42"/>
      <c r="R43" s="42"/>
      <c r="S43" s="42"/>
      <c r="T43" s="43"/>
    </row>
    <row r="44" spans="2:20" s="9" customFormat="1" ht="15" customHeight="1"/>
    <row r="45" spans="2:20" s="9" customFormat="1" ht="15" customHeight="1"/>
    <row r="46" spans="2:20" s="9" customFormat="1" ht="15" customHeight="1"/>
    <row r="47" spans="2:20" s="9" customFormat="1" ht="15" customHeight="1"/>
    <row r="48" spans="2:20" s="9" customFormat="1" ht="15" customHeight="1"/>
    <row r="49" s="9" customFormat="1" ht="15" customHeight="1"/>
    <row r="50" s="9" customFormat="1" ht="15" customHeight="1"/>
    <row r="51" s="9" customFormat="1" ht="15" customHeight="1"/>
    <row r="52" s="9" customFormat="1" ht="15" customHeight="1"/>
    <row r="53" s="9" customFormat="1" ht="15" customHeight="1"/>
    <row r="54" s="9" customFormat="1" ht="15" customHeight="1"/>
    <row r="55" s="9" customFormat="1" ht="15" customHeight="1"/>
    <row r="56" s="9" customFormat="1" ht="15" customHeight="1"/>
    <row r="57" s="9" customFormat="1" ht="15" customHeight="1"/>
    <row r="58" s="9" customFormat="1" ht="15" customHeight="1"/>
    <row r="59" s="9" customFormat="1" ht="15" customHeight="1"/>
    <row r="60" s="9" customFormat="1" ht="15" customHeight="1"/>
    <row r="61" s="9" customFormat="1" ht="15" customHeight="1"/>
    <row r="62" s="9" customFormat="1" ht="15" customHeight="1"/>
    <row r="63" s="9" customFormat="1" ht="15" customHeight="1"/>
    <row r="64" s="9" customFormat="1" ht="15" customHeight="1"/>
    <row r="65" s="9" customFormat="1" ht="15" customHeight="1"/>
    <row r="66" s="9" customFormat="1" ht="15" customHeight="1"/>
    <row r="67" s="9" customFormat="1" ht="15" customHeight="1"/>
    <row r="68" s="9" customFormat="1" ht="15" customHeight="1"/>
    <row r="69" s="9" customFormat="1" ht="15" customHeight="1"/>
    <row r="70" s="9" customFormat="1" ht="15" customHeight="1"/>
    <row r="71" s="9" customFormat="1" ht="15" customHeight="1"/>
    <row r="72" s="9" customFormat="1" ht="15" customHeight="1"/>
    <row r="73" s="9" customFormat="1" ht="15" customHeight="1"/>
    <row r="74" s="9" customFormat="1" ht="15" customHeight="1"/>
    <row r="75" s="9" customFormat="1" ht="15" customHeight="1"/>
    <row r="76" s="9" customFormat="1" ht="15" customHeight="1"/>
    <row r="77" s="9" customFormat="1" ht="15" customHeight="1"/>
    <row r="78" s="9" customFormat="1" ht="15" customHeight="1"/>
    <row r="79" s="9" customFormat="1" ht="15" customHeight="1"/>
    <row r="80" s="9" customFormat="1" ht="15" customHeight="1"/>
    <row r="81" s="9" customFormat="1" ht="15" customHeight="1"/>
    <row r="82" s="9" customFormat="1" ht="15" customHeight="1"/>
    <row r="83" s="9" customFormat="1" ht="15" customHeight="1"/>
    <row r="84" s="9" customFormat="1" ht="15" customHeight="1"/>
    <row r="85" s="9" customFormat="1" ht="15" customHeight="1"/>
    <row r="86" s="9" customFormat="1" ht="15" customHeight="1"/>
    <row r="87" s="9" customFormat="1" ht="15" customHeight="1"/>
    <row r="88" s="9" customFormat="1" ht="15" customHeight="1"/>
    <row r="89" s="9" customFormat="1" ht="15" customHeight="1"/>
    <row r="90" s="9" customFormat="1" ht="15" customHeight="1"/>
    <row r="91" s="9" customFormat="1" ht="15" customHeight="1"/>
    <row r="92" s="9" customFormat="1" ht="15" customHeight="1"/>
    <row r="93" s="9" customFormat="1" ht="15" customHeight="1"/>
    <row r="94" s="9" customFormat="1" ht="15" customHeight="1"/>
    <row r="95" s="9" customFormat="1" ht="15" customHeight="1"/>
    <row r="96" s="9" customFormat="1" ht="15" customHeight="1"/>
    <row r="97" s="9" customFormat="1" ht="15" customHeight="1"/>
    <row r="98" s="9" customFormat="1" ht="15" customHeight="1"/>
    <row r="99" s="9" customFormat="1" ht="15" customHeight="1"/>
    <row r="100" s="9" customFormat="1" ht="15" customHeight="1"/>
    <row r="101" s="9" customFormat="1" ht="15" customHeight="1"/>
    <row r="102" s="9" customFormat="1" ht="15" customHeight="1"/>
    <row r="103" s="9" customFormat="1" ht="15" customHeight="1"/>
    <row r="104" s="9" customFormat="1" ht="15" customHeight="1"/>
    <row r="105" s="9" customFormat="1" ht="15" customHeight="1"/>
    <row r="106" s="9" customFormat="1" ht="15" customHeight="1"/>
    <row r="107" s="9" customFormat="1" ht="15" customHeight="1"/>
    <row r="108" s="9" customFormat="1" ht="15" customHeight="1"/>
    <row r="109" s="9" customFormat="1" ht="15" customHeight="1"/>
    <row r="110" s="9" customFormat="1" ht="15" customHeight="1"/>
    <row r="111" s="9" customFormat="1" ht="15" customHeight="1"/>
    <row r="112" s="9" customFormat="1" ht="15" customHeight="1"/>
    <row r="113" s="9" customFormat="1" ht="15" customHeight="1"/>
    <row r="114" s="9" customFormat="1" ht="15" customHeight="1"/>
    <row r="115" s="9" customFormat="1" ht="15" customHeight="1"/>
    <row r="116" s="9" customFormat="1" ht="15" customHeight="1"/>
    <row r="117" s="9" customFormat="1" ht="15" customHeight="1"/>
    <row r="118" s="9" customFormat="1" ht="15" customHeight="1"/>
    <row r="119" s="9" customFormat="1" ht="15" customHeight="1"/>
    <row r="120" s="9" customFormat="1" ht="15" customHeight="1"/>
    <row r="121" s="9" customFormat="1" ht="15" customHeight="1"/>
    <row r="122" s="9" customFormat="1" ht="15" customHeight="1"/>
    <row r="123" s="9" customFormat="1" ht="15" customHeight="1"/>
    <row r="124" s="9" customFormat="1" ht="15" customHeight="1"/>
    <row r="125" s="9" customFormat="1" ht="15" customHeight="1"/>
    <row r="126" s="9" customFormat="1" ht="15" customHeight="1"/>
    <row r="127" s="9" customFormat="1" ht="15" customHeight="1"/>
    <row r="128" s="9" customFormat="1" ht="15" customHeight="1"/>
    <row r="129" s="9" customFormat="1" ht="15" customHeight="1"/>
    <row r="130" s="9" customFormat="1" ht="15" customHeight="1"/>
    <row r="131" s="9" customFormat="1" ht="15" customHeight="1"/>
    <row r="132" s="9" customFormat="1" ht="15" customHeight="1"/>
    <row r="133" s="9" customFormat="1" ht="15" customHeight="1"/>
    <row r="134" s="9" customFormat="1" ht="15" customHeight="1"/>
    <row r="135" s="9" customFormat="1" ht="15" customHeight="1"/>
    <row r="136" s="9" customFormat="1" ht="15" customHeight="1"/>
    <row r="137" s="9" customFormat="1" ht="15" customHeight="1"/>
    <row r="138" s="9" customFormat="1" ht="15" customHeight="1"/>
    <row r="139" s="9" customFormat="1" ht="15" customHeight="1"/>
    <row r="140" s="9" customFormat="1" ht="15" customHeight="1"/>
    <row r="141" s="9" customFormat="1" ht="15" customHeight="1"/>
    <row r="142" s="9" customFormat="1" ht="15" customHeight="1"/>
    <row r="143" s="9" customFormat="1" ht="15" customHeight="1"/>
    <row r="144" s="9" customFormat="1" ht="15" customHeight="1"/>
    <row r="145" s="9" customFormat="1" ht="15" customHeight="1"/>
    <row r="146" s="9" customFormat="1" ht="15" customHeight="1"/>
    <row r="147" s="9" customFormat="1" ht="15" customHeight="1"/>
    <row r="148" s="9" customFormat="1" ht="15" customHeight="1"/>
    <row r="149" s="9" customFormat="1" ht="15" customHeight="1"/>
    <row r="150" s="9" customFormat="1" ht="15" customHeight="1"/>
    <row r="151" s="9" customFormat="1" ht="15" customHeight="1"/>
    <row r="152" s="9" customFormat="1" ht="15" customHeight="1"/>
    <row r="153" s="9" customFormat="1" ht="15" customHeight="1"/>
    <row r="154" s="9" customFormat="1" ht="15" customHeight="1"/>
    <row r="155" s="9" customFormat="1" ht="15" customHeight="1"/>
    <row r="156" s="9" customFormat="1" ht="15" customHeight="1"/>
    <row r="157" s="9" customFormat="1" ht="15" customHeight="1"/>
    <row r="158" s="9" customFormat="1" ht="15" customHeight="1"/>
    <row r="159" s="9" customFormat="1" ht="15" customHeight="1"/>
    <row r="160" s="9" customFormat="1" ht="15" customHeight="1"/>
    <row r="161" s="9" customFormat="1" ht="15" customHeight="1"/>
    <row r="162" s="9" customFormat="1" ht="15" customHeight="1"/>
    <row r="163" s="9" customFormat="1" ht="15" customHeight="1"/>
    <row r="164" s="9" customFormat="1" ht="15" customHeight="1"/>
    <row r="165" s="9" customFormat="1" ht="15" customHeight="1"/>
    <row r="166" s="9" customFormat="1" ht="15" customHeight="1"/>
    <row r="167" s="9" customFormat="1" ht="15" customHeight="1"/>
    <row r="168" s="9" customFormat="1" ht="15" customHeight="1"/>
    <row r="169" s="9" customFormat="1" ht="15" customHeight="1"/>
    <row r="170" s="9" customFormat="1" ht="15" customHeight="1"/>
    <row r="171" s="9" customFormat="1" ht="15" customHeight="1"/>
    <row r="172" s="9" customFormat="1" ht="15" customHeight="1"/>
    <row r="173" s="9" customFormat="1" ht="15" customHeight="1"/>
    <row r="174" s="9" customFormat="1" ht="15" customHeight="1"/>
    <row r="175" s="9" customFormat="1" ht="15" customHeight="1"/>
    <row r="176" s="9" customFormat="1" ht="15" customHeight="1"/>
    <row r="177" s="9" customFormat="1" ht="15" customHeight="1"/>
    <row r="178" s="9" customFormat="1" ht="15" customHeight="1"/>
    <row r="179" s="9" customFormat="1" ht="15" customHeight="1"/>
    <row r="180" s="9" customFormat="1" ht="15" customHeight="1"/>
    <row r="181" s="9" customFormat="1" ht="15" customHeight="1"/>
    <row r="182" s="9" customFormat="1" ht="15" customHeight="1"/>
    <row r="183" s="9" customFormat="1" ht="15" customHeight="1"/>
    <row r="184" s="9" customFormat="1" ht="15" customHeight="1"/>
    <row r="185" s="9" customFormat="1" ht="15" customHeight="1"/>
    <row r="186" s="9" customFormat="1" ht="15" customHeight="1"/>
    <row r="187" s="9" customFormat="1" ht="15" customHeight="1"/>
    <row r="188" s="9" customFormat="1" ht="15" customHeight="1"/>
    <row r="189" s="9" customFormat="1" ht="15" customHeight="1"/>
    <row r="190" s="9" customFormat="1" ht="15" customHeight="1"/>
    <row r="191" s="9" customFormat="1" ht="15" customHeight="1"/>
    <row r="192" s="9" customFormat="1" ht="15" customHeight="1"/>
    <row r="193" s="9" customFormat="1" ht="15" customHeight="1"/>
    <row r="194" s="9" customFormat="1" ht="15" customHeight="1"/>
    <row r="195" s="9" customFormat="1" ht="15" customHeight="1"/>
    <row r="196" s="9" customFormat="1" ht="15" customHeight="1"/>
    <row r="197" s="9" customFormat="1" ht="15" customHeight="1"/>
    <row r="198" s="9" customFormat="1" ht="15" customHeight="1"/>
    <row r="199" s="9" customFormat="1" ht="15" customHeight="1"/>
    <row r="200" s="9" customFormat="1" ht="15" customHeight="1"/>
    <row r="201" s="9" customFormat="1" ht="15" customHeight="1"/>
    <row r="202" s="9" customFormat="1" ht="15" customHeight="1"/>
    <row r="203" s="9" customFormat="1" ht="15" customHeight="1"/>
    <row r="204" s="9" customFormat="1" ht="15" customHeight="1"/>
    <row r="205" s="9" customFormat="1" ht="15" customHeight="1"/>
    <row r="206" s="9" customFormat="1" ht="15" customHeight="1"/>
    <row r="207" s="9" customFormat="1" ht="15" customHeight="1"/>
    <row r="208" s="9" customFormat="1" ht="15" customHeight="1"/>
    <row r="209" s="9" customFormat="1" ht="15" customHeight="1"/>
    <row r="210" s="9" customFormat="1" ht="15" customHeight="1"/>
    <row r="211" s="9" customFormat="1" ht="15" customHeight="1"/>
    <row r="212" s="9" customFormat="1" ht="15" customHeight="1"/>
    <row r="213" s="9" customFormat="1" ht="15" customHeight="1"/>
    <row r="214" s="9" customFormat="1" ht="15" customHeight="1"/>
    <row r="215" s="9" customFormat="1" ht="15" customHeight="1"/>
    <row r="216" s="9" customFormat="1" ht="15" customHeight="1"/>
    <row r="217" s="9" customFormat="1" ht="15" customHeight="1"/>
    <row r="218" s="9" customFormat="1" ht="15" customHeight="1"/>
    <row r="219" s="9" customFormat="1" ht="15" customHeight="1"/>
    <row r="220" s="9" customFormat="1" ht="15" customHeight="1"/>
    <row r="221" s="9" customFormat="1" ht="15" customHeight="1"/>
    <row r="222" s="9" customFormat="1" ht="15" customHeight="1"/>
    <row r="223" s="9" customFormat="1" ht="15" customHeight="1"/>
    <row r="224" s="9" customFormat="1" ht="15" customHeight="1"/>
    <row r="225" s="9" customFormat="1" ht="15" customHeight="1"/>
    <row r="226" s="9" customFormat="1" ht="15" customHeight="1"/>
    <row r="227" s="9" customFormat="1" ht="15" customHeight="1"/>
    <row r="228" s="9" customFormat="1" ht="15" customHeight="1"/>
    <row r="229" s="9" customFormat="1" ht="15" customHeight="1"/>
    <row r="230" s="9" customFormat="1" ht="15" customHeight="1"/>
    <row r="231" s="9" customFormat="1" ht="15" customHeight="1"/>
    <row r="232" s="9" customFormat="1" ht="15" customHeight="1"/>
    <row r="233" s="9" customFormat="1" ht="15" customHeight="1"/>
    <row r="234" s="9" customFormat="1" ht="15" customHeight="1"/>
    <row r="235" s="9" customFormat="1" ht="15" customHeight="1"/>
    <row r="236" s="9" customFormat="1" ht="15" customHeight="1"/>
    <row r="237" s="9" customFormat="1" ht="15" customHeight="1"/>
    <row r="238" s="9" customFormat="1" ht="15" customHeight="1"/>
    <row r="239" s="9" customFormat="1" ht="15" customHeight="1"/>
    <row r="240" s="9" customFormat="1" ht="15" customHeight="1"/>
    <row r="241" s="9" customFormat="1" ht="15" customHeight="1"/>
    <row r="242" s="9" customFormat="1" ht="15" customHeight="1"/>
    <row r="243" s="9" customFormat="1" ht="15" customHeight="1"/>
    <row r="244" s="9" customFormat="1" ht="15" customHeight="1"/>
    <row r="245" s="9" customFormat="1" ht="15" customHeight="1"/>
    <row r="246" s="9" customFormat="1" ht="15" customHeight="1"/>
    <row r="247" s="9" customFormat="1" ht="15" customHeight="1"/>
    <row r="248" s="9" customFormat="1" ht="15" customHeight="1"/>
    <row r="249" s="9" customFormat="1" ht="15" customHeight="1"/>
    <row r="250" s="9" customFormat="1" ht="15" customHeight="1"/>
    <row r="251" s="9" customFormat="1" ht="15" customHeight="1"/>
    <row r="252" s="9" customFormat="1" ht="15" customHeight="1"/>
    <row r="253" s="9" customFormat="1" ht="15" customHeight="1"/>
    <row r="254" s="9" customFormat="1" ht="15" customHeight="1"/>
    <row r="255" s="9" customFormat="1" ht="15" customHeight="1"/>
    <row r="256" s="9" customFormat="1" ht="15" customHeight="1"/>
    <row r="257" s="9" customFormat="1" ht="15" customHeight="1"/>
    <row r="258" s="9" customFormat="1" ht="15" customHeight="1"/>
    <row r="259" s="9" customFormat="1" ht="15" customHeight="1"/>
    <row r="260" s="9" customFormat="1" ht="15" customHeight="1"/>
    <row r="261" s="9" customFormat="1" ht="15" customHeight="1"/>
    <row r="262" s="9" customFormat="1" ht="15" customHeight="1"/>
    <row r="263" s="9" customFormat="1" ht="15" customHeight="1"/>
    <row r="264" s="9" customFormat="1" ht="15" customHeight="1"/>
    <row r="265" s="9" customFormat="1" ht="15" customHeight="1"/>
    <row r="266" s="9" customFormat="1" ht="15" customHeight="1"/>
    <row r="267" s="9" customFormat="1" ht="15" customHeight="1"/>
    <row r="268" s="9" customFormat="1" ht="15" customHeight="1"/>
    <row r="269" s="9" customFormat="1" ht="15" customHeight="1"/>
    <row r="270" s="9" customFormat="1" ht="15" customHeight="1"/>
    <row r="271" s="9" customFormat="1" ht="15" customHeight="1"/>
    <row r="272" s="9" customFormat="1" ht="15" customHeight="1"/>
    <row r="273" s="9" customFormat="1" ht="15" customHeight="1"/>
    <row r="274" s="9" customFormat="1" ht="15" customHeight="1"/>
    <row r="275" s="9" customFormat="1" ht="15" customHeight="1"/>
    <row r="276" s="9" customFormat="1" ht="15" customHeight="1"/>
    <row r="277" s="9" customFormat="1" ht="15" customHeight="1"/>
    <row r="278" s="9" customFormat="1" ht="15" customHeight="1"/>
    <row r="279" s="9" customFormat="1" ht="15" customHeight="1"/>
    <row r="280" s="9" customFormat="1" ht="15" customHeight="1"/>
    <row r="281" s="9" customFormat="1" ht="15" customHeight="1"/>
    <row r="282" s="9" customFormat="1" ht="15" customHeight="1"/>
    <row r="283" s="9" customFormat="1" ht="15" customHeight="1"/>
    <row r="284" s="9" customFormat="1" ht="15" customHeight="1"/>
    <row r="285" s="9" customFormat="1" ht="15" customHeight="1"/>
    <row r="286" s="9" customFormat="1" ht="15" customHeight="1"/>
    <row r="287" s="9" customFormat="1" ht="15" customHeight="1"/>
    <row r="288" s="9" customFormat="1" ht="15" customHeight="1"/>
    <row r="289" s="9" customFormat="1" ht="15" customHeight="1"/>
    <row r="290" s="9" customFormat="1" ht="15" customHeight="1"/>
    <row r="291" s="9" customFormat="1" ht="15" customHeight="1"/>
    <row r="292" s="9" customFormat="1" ht="15" customHeight="1"/>
    <row r="293" s="9" customFormat="1" ht="15" customHeight="1"/>
    <row r="294" s="9" customFormat="1" ht="15" customHeight="1"/>
    <row r="295" s="9" customFormat="1" ht="15" customHeight="1"/>
    <row r="296" s="9" customFormat="1" ht="15" customHeight="1"/>
    <row r="297" s="9" customFormat="1" ht="15" customHeight="1"/>
    <row r="298" s="9" customFormat="1" ht="15" customHeight="1"/>
    <row r="299" s="9" customFormat="1" ht="15" customHeight="1"/>
    <row r="300" s="9" customFormat="1" ht="15" customHeight="1"/>
    <row r="301" s="9" customFormat="1" ht="15" customHeight="1"/>
    <row r="302" s="9" customFormat="1" ht="15" customHeight="1"/>
    <row r="303" s="9" customFormat="1" ht="15" customHeight="1"/>
    <row r="304" s="9" customFormat="1" ht="15" customHeight="1"/>
    <row r="305" s="9" customFormat="1" ht="15" customHeight="1"/>
    <row r="306" s="9" customFormat="1" ht="15" customHeight="1"/>
    <row r="307" s="9" customFormat="1" ht="15" customHeight="1"/>
    <row r="308" s="9" customFormat="1" ht="15" customHeight="1"/>
    <row r="309" s="9" customFormat="1" ht="15" customHeight="1"/>
    <row r="310" s="9" customFormat="1" ht="15" customHeight="1"/>
    <row r="311" s="9" customFormat="1" ht="15" customHeight="1"/>
    <row r="312" s="9" customFormat="1" ht="15" customHeight="1"/>
    <row r="313" s="9" customFormat="1" ht="15" customHeight="1"/>
    <row r="314" s="9" customFormat="1" ht="15" customHeight="1"/>
    <row r="315" s="9" customFormat="1" ht="15" customHeight="1"/>
    <row r="316" s="9" customFormat="1" ht="15" customHeight="1"/>
    <row r="317" s="9" customFormat="1" ht="15" customHeight="1"/>
    <row r="318" s="9" customFormat="1" ht="15" customHeight="1"/>
    <row r="319" s="9" customFormat="1" ht="15" customHeight="1"/>
    <row r="320" s="9" customFormat="1" ht="15" customHeight="1"/>
    <row r="321" s="9" customFormat="1" ht="15" customHeight="1"/>
    <row r="322" s="9" customFormat="1" ht="15" customHeight="1"/>
    <row r="323" s="9" customFormat="1" ht="15" customHeight="1"/>
    <row r="324" s="9" customFormat="1" ht="15" customHeight="1"/>
    <row r="325" s="9" customFormat="1" ht="15" customHeight="1"/>
    <row r="326" s="9" customFormat="1" ht="15" customHeight="1"/>
    <row r="327" s="9" customFormat="1" ht="15" customHeight="1"/>
    <row r="328" s="9" customFormat="1" ht="15" customHeight="1"/>
    <row r="329" s="9" customFormat="1" ht="15" customHeight="1"/>
    <row r="330" s="9" customFormat="1" ht="15" customHeight="1"/>
    <row r="331" s="9" customFormat="1" ht="15" customHeight="1"/>
    <row r="332" s="9" customFormat="1" ht="15" customHeight="1"/>
    <row r="333" s="9" customFormat="1" ht="15" customHeight="1"/>
    <row r="334" s="9" customFormat="1" ht="15" customHeight="1"/>
    <row r="335" s="9" customFormat="1" ht="15" customHeight="1"/>
    <row r="336" s="9" customFormat="1" ht="15" customHeight="1"/>
    <row r="337" s="9" customFormat="1" ht="15" customHeight="1"/>
    <row r="338" s="9" customFormat="1" ht="15" customHeight="1"/>
    <row r="339" s="9" customFormat="1" ht="15" customHeight="1"/>
    <row r="340" s="9" customFormat="1" ht="15" customHeight="1"/>
    <row r="341" s="9" customFormat="1" ht="15" customHeight="1"/>
    <row r="342" s="9" customFormat="1" ht="15" customHeight="1"/>
    <row r="343" s="9" customFormat="1" ht="15" customHeight="1"/>
    <row r="344" s="9" customFormat="1" ht="15" customHeight="1"/>
    <row r="345" s="9" customFormat="1" ht="15" customHeight="1"/>
    <row r="346" s="9" customFormat="1" ht="15" customHeight="1"/>
    <row r="347" s="9" customFormat="1" ht="15" customHeight="1"/>
    <row r="348" s="9" customFormat="1" ht="15" customHeight="1"/>
    <row r="349" s="9" customFormat="1" ht="15" customHeight="1"/>
    <row r="350" s="9" customFormat="1" ht="15" customHeight="1"/>
    <row r="351" s="9" customFormat="1" ht="15" customHeight="1"/>
    <row r="352" s="9" customFormat="1" ht="15" customHeight="1"/>
    <row r="353" s="9" customFormat="1" ht="15" customHeight="1"/>
    <row r="354" s="9" customFormat="1" ht="15" customHeight="1"/>
    <row r="355" s="9" customFormat="1" ht="15" customHeight="1"/>
    <row r="356" s="9" customFormat="1" ht="15" customHeight="1"/>
    <row r="357" s="9" customFormat="1" ht="15" customHeight="1"/>
    <row r="358" s="9" customFormat="1" ht="15" customHeight="1"/>
    <row r="359" s="9" customFormat="1" ht="15" customHeight="1"/>
    <row r="360" s="9" customFormat="1" ht="15" customHeight="1"/>
    <row r="361" s="9" customFormat="1" ht="15" customHeight="1"/>
    <row r="362" s="9" customFormat="1" ht="15" customHeight="1"/>
    <row r="363" s="9" customFormat="1" ht="15" customHeight="1"/>
    <row r="364" s="9" customFormat="1" ht="15" customHeight="1"/>
    <row r="365" s="9" customFormat="1" ht="15" customHeight="1"/>
    <row r="366" s="9" customFormat="1" ht="15" customHeight="1"/>
    <row r="367" s="9" customFormat="1" ht="15" customHeight="1"/>
    <row r="368" s="9" customFormat="1" ht="15" customHeight="1"/>
    <row r="369" s="9" customFormat="1" ht="15" customHeight="1"/>
    <row r="370" s="9" customFormat="1" ht="15" customHeight="1"/>
    <row r="371" s="9" customFormat="1" ht="15" customHeight="1"/>
    <row r="372" s="9" customFormat="1" ht="15" customHeight="1"/>
    <row r="373" s="9" customFormat="1" ht="15" customHeight="1"/>
    <row r="374" s="9" customFormat="1" ht="15" customHeight="1"/>
    <row r="375" s="9" customFormat="1" ht="15" customHeight="1"/>
    <row r="376" s="9" customFormat="1" ht="15" customHeight="1"/>
    <row r="377" s="9" customFormat="1" ht="15" customHeight="1"/>
    <row r="378" s="9" customFormat="1" ht="15" customHeight="1"/>
    <row r="379" s="9" customFormat="1" ht="15" customHeight="1"/>
    <row r="380" s="9" customFormat="1" ht="15" customHeight="1"/>
    <row r="381" s="9" customFormat="1" ht="15" customHeight="1"/>
    <row r="382" s="9" customFormat="1" ht="15" customHeight="1"/>
    <row r="383" s="9" customFormat="1" ht="15" customHeight="1"/>
    <row r="384" s="9" customFormat="1" ht="15" customHeight="1"/>
    <row r="385" s="9" customFormat="1" ht="15" customHeight="1"/>
    <row r="386" s="9" customFormat="1" ht="15" customHeight="1"/>
    <row r="387" s="9" customFormat="1" ht="15" customHeight="1"/>
    <row r="388" s="9" customFormat="1" ht="15" customHeight="1"/>
    <row r="389" s="9" customFormat="1" ht="15" customHeight="1"/>
    <row r="390" s="9" customFormat="1" ht="15" customHeight="1"/>
    <row r="391" s="9" customFormat="1" ht="15" customHeight="1"/>
    <row r="392" s="9" customFormat="1" ht="15" customHeight="1"/>
    <row r="393" s="9" customFormat="1" ht="15" customHeight="1"/>
    <row r="394" s="9" customFormat="1" ht="15" customHeight="1"/>
    <row r="395" s="9" customFormat="1" ht="15" customHeight="1"/>
    <row r="396" s="9" customFormat="1" ht="15" customHeight="1"/>
    <row r="397" s="9" customFormat="1" ht="15" customHeight="1"/>
    <row r="398" s="9" customFormat="1" ht="15" customHeight="1"/>
    <row r="399" s="9" customFormat="1" ht="15" customHeight="1"/>
    <row r="400" s="9" customFormat="1" ht="15" customHeight="1"/>
    <row r="401" s="9" customFormat="1" ht="15" customHeight="1"/>
    <row r="402" s="9" customFormat="1" ht="15" customHeight="1"/>
    <row r="403" s="9" customFormat="1" ht="15" customHeight="1"/>
    <row r="404" s="9" customFormat="1" ht="15" customHeight="1"/>
    <row r="405" s="9" customFormat="1" ht="15" customHeight="1"/>
    <row r="406" s="9" customFormat="1" ht="15" customHeight="1"/>
    <row r="407" s="9" customFormat="1" ht="15" customHeight="1"/>
    <row r="408" s="9" customFormat="1" ht="15" customHeight="1"/>
    <row r="409" s="9" customFormat="1" ht="15" customHeight="1"/>
    <row r="410" s="9" customFormat="1" ht="15" customHeight="1"/>
    <row r="411" s="9" customFormat="1" ht="15" customHeight="1"/>
    <row r="412" s="9" customFormat="1" ht="15" customHeight="1"/>
    <row r="413" s="9" customFormat="1" ht="15" customHeight="1"/>
    <row r="414" s="9" customFormat="1" ht="15" customHeight="1"/>
    <row r="415" s="9" customFormat="1" ht="15" customHeight="1"/>
    <row r="416" s="9" customFormat="1" ht="15" customHeight="1"/>
    <row r="417" s="9" customFormat="1" ht="15" customHeight="1"/>
    <row r="418" s="9" customFormat="1" ht="15" customHeight="1"/>
    <row r="419" s="9" customFormat="1" ht="15" customHeight="1"/>
    <row r="420" s="9" customFormat="1" ht="15" customHeight="1"/>
    <row r="421" s="9" customFormat="1" ht="15" customHeight="1"/>
    <row r="422" s="9" customFormat="1" ht="15" customHeight="1"/>
    <row r="423" s="9" customFormat="1" ht="15" customHeight="1"/>
    <row r="424" s="9" customFormat="1" ht="15" customHeight="1"/>
    <row r="425" s="9" customFormat="1" ht="15" customHeight="1"/>
    <row r="426" s="9" customFormat="1" ht="15" customHeight="1"/>
    <row r="427" s="9" customFormat="1" ht="15" customHeight="1"/>
    <row r="428" s="9" customFormat="1" ht="15" customHeight="1"/>
    <row r="429" s="9" customFormat="1" ht="15" customHeight="1"/>
    <row r="430" s="9" customFormat="1" ht="15" customHeight="1"/>
    <row r="431" s="9" customFormat="1" ht="15" customHeight="1"/>
    <row r="432" s="9" customFormat="1" ht="15" customHeight="1"/>
    <row r="433" s="9" customFormat="1" ht="15" customHeight="1"/>
    <row r="434" s="9" customFormat="1" ht="15" customHeight="1"/>
    <row r="435" s="9" customFormat="1" ht="15" customHeight="1"/>
    <row r="436" s="9" customFormat="1" ht="15" customHeight="1"/>
    <row r="437" s="9" customFormat="1" ht="15" customHeight="1"/>
    <row r="438" s="9" customFormat="1" ht="15" customHeight="1"/>
    <row r="439" s="9" customFormat="1" ht="15" customHeight="1"/>
    <row r="440" s="9" customFormat="1" ht="15" customHeight="1"/>
    <row r="441" s="9" customFormat="1" ht="15" customHeight="1"/>
    <row r="442" s="9" customFormat="1" ht="15" customHeight="1"/>
    <row r="443" s="9" customFormat="1" ht="15" customHeight="1"/>
    <row r="444" s="9" customFormat="1" ht="15" customHeight="1"/>
    <row r="445" s="9" customFormat="1" ht="15" customHeight="1"/>
    <row r="446" s="9" customFormat="1" ht="15" customHeight="1"/>
    <row r="447" s="9" customFormat="1" ht="15" customHeight="1"/>
    <row r="448" s="9" customFormat="1" ht="15" customHeight="1"/>
    <row r="449" s="9" customFormat="1" ht="15" customHeight="1"/>
    <row r="450" s="9" customFormat="1" ht="15" customHeight="1"/>
    <row r="451" s="9" customFormat="1" ht="15" customHeight="1"/>
    <row r="452" s="9" customFormat="1" ht="15" customHeight="1"/>
    <row r="453" s="9" customFormat="1" ht="15" customHeight="1"/>
    <row r="454" s="9" customFormat="1" ht="15" customHeight="1"/>
    <row r="455" s="9" customFormat="1" ht="15" customHeight="1"/>
    <row r="456" s="9" customFormat="1" ht="15" customHeight="1"/>
    <row r="457" s="9" customFormat="1" ht="15" customHeight="1"/>
    <row r="458" s="9" customFormat="1" ht="15" customHeight="1"/>
    <row r="459" s="9" customFormat="1" ht="15" customHeight="1"/>
    <row r="460" s="9" customFormat="1" ht="15" customHeight="1"/>
    <row r="461" s="9" customFormat="1" ht="15" customHeight="1"/>
    <row r="462" s="9" customFormat="1" ht="15" customHeight="1"/>
    <row r="463" s="9" customFormat="1" ht="15" customHeight="1"/>
    <row r="464" s="9" customFormat="1" ht="15" customHeight="1"/>
    <row r="465" s="9" customFormat="1" ht="15" customHeight="1"/>
    <row r="466" s="9" customFormat="1" ht="15" customHeight="1"/>
    <row r="467" s="9" customFormat="1" ht="15" customHeight="1"/>
    <row r="468" s="9" customFormat="1" ht="15" customHeight="1"/>
    <row r="469" s="9" customFormat="1" ht="15" customHeight="1"/>
    <row r="470" s="9" customFormat="1" ht="15" customHeight="1"/>
    <row r="471" s="9" customFormat="1" ht="15" customHeight="1"/>
    <row r="472" s="9" customFormat="1" ht="15" customHeight="1"/>
    <row r="473" s="9" customFormat="1" ht="15" customHeight="1"/>
    <row r="474" s="9" customFormat="1" ht="15" customHeight="1"/>
    <row r="475" s="9" customFormat="1" ht="15" customHeight="1"/>
    <row r="476" s="9" customFormat="1" ht="15" customHeight="1"/>
    <row r="477" s="9" customFormat="1" ht="15" customHeight="1"/>
    <row r="478" s="9" customFormat="1" ht="15" customHeight="1"/>
    <row r="479" s="9" customFormat="1" ht="15" customHeight="1"/>
    <row r="480" s="9" customFormat="1" ht="15" customHeight="1"/>
    <row r="481" s="9" customFormat="1" ht="15" customHeight="1"/>
    <row r="482" s="9" customFormat="1" ht="15" customHeight="1"/>
    <row r="483" s="9" customFormat="1" ht="15" customHeight="1"/>
    <row r="484" s="9" customFormat="1" ht="15" customHeight="1"/>
    <row r="485" s="9" customFormat="1" ht="15" customHeight="1"/>
    <row r="486" s="9" customFormat="1" ht="15" customHeight="1"/>
    <row r="487" s="9" customFormat="1" ht="15" customHeight="1"/>
    <row r="488" s="9" customFormat="1" ht="15" customHeight="1"/>
    <row r="489" s="9" customFormat="1" ht="15" customHeight="1"/>
    <row r="490" s="9" customFormat="1" ht="15" customHeight="1"/>
    <row r="491" s="9" customFormat="1" ht="15" customHeight="1"/>
    <row r="492" s="9" customFormat="1" ht="15" customHeight="1"/>
    <row r="493" s="9" customFormat="1" ht="15" customHeight="1"/>
    <row r="494" s="9" customFormat="1" ht="15" customHeight="1"/>
    <row r="495" s="9" customFormat="1" ht="15" customHeight="1"/>
    <row r="496" s="9" customFormat="1" ht="15" customHeight="1"/>
    <row r="497" s="9" customFormat="1" ht="15" customHeight="1"/>
    <row r="498" s="9" customFormat="1" ht="15" customHeight="1"/>
    <row r="499" s="9" customFormat="1" ht="15" customHeight="1"/>
    <row r="500" s="9" customFormat="1" ht="15" customHeight="1"/>
    <row r="501" s="9" customFormat="1" ht="15" customHeight="1"/>
    <row r="502" s="9" customFormat="1" ht="15" customHeight="1"/>
    <row r="503" s="9" customFormat="1" ht="15" customHeight="1"/>
    <row r="504" s="9" customFormat="1" ht="15" customHeight="1"/>
    <row r="505" s="9" customFormat="1" ht="15" customHeight="1"/>
    <row r="506" s="9" customFormat="1" ht="15" customHeight="1"/>
    <row r="507" s="9" customFormat="1" ht="15" customHeight="1"/>
    <row r="508" s="9" customFormat="1" ht="15" customHeight="1"/>
    <row r="509" s="9" customFormat="1" ht="15" customHeight="1"/>
    <row r="510" s="9" customFormat="1" ht="15" customHeight="1"/>
    <row r="511" s="9" customFormat="1" ht="15" customHeight="1"/>
    <row r="512" s="9" customFormat="1" ht="15" customHeight="1"/>
    <row r="513" s="9" customFormat="1" ht="15" customHeight="1"/>
    <row r="514" s="9" customFormat="1" ht="15" customHeight="1"/>
    <row r="515" s="9" customFormat="1" ht="15" customHeight="1"/>
    <row r="516" s="9" customFormat="1" ht="15" customHeight="1"/>
    <row r="517" s="9" customFormat="1" ht="15" customHeight="1"/>
    <row r="518" s="9" customFormat="1" ht="15" customHeight="1"/>
    <row r="519" s="9" customFormat="1" ht="15" customHeight="1"/>
    <row r="520" s="9" customFormat="1" ht="15" customHeight="1"/>
    <row r="521" s="9" customFormat="1" ht="15" customHeight="1"/>
    <row r="522" s="9" customFormat="1" ht="15" customHeight="1"/>
    <row r="523" s="9" customFormat="1" ht="15" customHeight="1"/>
    <row r="524" s="9" customFormat="1" ht="15" customHeight="1"/>
    <row r="525" s="9" customFormat="1" ht="15" customHeight="1"/>
    <row r="526" s="9" customFormat="1" ht="15" customHeight="1"/>
    <row r="527" s="9" customFormat="1" ht="15" customHeight="1"/>
    <row r="528" s="9" customFormat="1" ht="15" customHeight="1"/>
    <row r="529" s="9" customFormat="1" ht="15" customHeight="1"/>
    <row r="530" s="9" customFormat="1" ht="15" customHeight="1"/>
    <row r="531" s="9" customFormat="1" ht="15" customHeight="1"/>
    <row r="532" s="9" customFormat="1" ht="15" customHeight="1"/>
    <row r="533" s="9" customFormat="1" ht="15" customHeight="1"/>
    <row r="534" s="9" customFormat="1" ht="15" customHeight="1"/>
    <row r="535" s="9" customFormat="1" ht="15" customHeight="1"/>
    <row r="536" s="9" customFormat="1" ht="15" customHeight="1"/>
    <row r="537" s="9" customFormat="1" ht="15" customHeight="1"/>
    <row r="538" s="9" customFormat="1" ht="15" customHeight="1"/>
    <row r="539" s="9" customFormat="1" ht="15" customHeight="1"/>
    <row r="540" s="9" customFormat="1" ht="15" customHeight="1"/>
    <row r="541" s="9" customFormat="1" ht="15" customHeight="1"/>
    <row r="542" s="9" customFormat="1" ht="15" customHeight="1"/>
    <row r="543" s="9" customFormat="1" ht="15" customHeight="1"/>
    <row r="544" s="9" customFormat="1" ht="15" customHeight="1"/>
    <row r="545" s="9" customFormat="1" ht="15" customHeight="1"/>
    <row r="546" s="9" customFormat="1" ht="15" customHeight="1"/>
    <row r="547" s="9" customFormat="1" ht="15" customHeight="1"/>
    <row r="548" s="9" customFormat="1" ht="15" customHeight="1"/>
    <row r="549" s="9" customFormat="1" ht="15" customHeight="1"/>
    <row r="550" s="9" customFormat="1" ht="15" customHeight="1"/>
    <row r="551" s="9" customFormat="1" ht="15" customHeight="1"/>
    <row r="552" s="9" customFormat="1" ht="15" customHeight="1"/>
    <row r="553" s="9" customFormat="1" ht="15" customHeight="1"/>
    <row r="554" s="9" customFormat="1" ht="15" customHeight="1"/>
    <row r="555" s="9" customFormat="1" ht="15" customHeight="1"/>
    <row r="556" s="9" customFormat="1" ht="15" customHeight="1"/>
    <row r="557" s="9" customFormat="1" ht="15" customHeight="1"/>
    <row r="558" s="9" customFormat="1" ht="15" customHeight="1"/>
    <row r="559" s="9" customFormat="1" ht="15" customHeight="1"/>
    <row r="560" s="9" customFormat="1" ht="15" customHeight="1"/>
    <row r="561" s="9" customFormat="1" ht="15" customHeight="1"/>
    <row r="562" s="9" customFormat="1" ht="15" customHeight="1"/>
    <row r="563" s="9" customFormat="1" ht="15" customHeight="1"/>
    <row r="564" s="9" customFormat="1" ht="15" customHeight="1"/>
    <row r="565" s="9" customFormat="1" ht="15" customHeight="1"/>
    <row r="566" s="9" customFormat="1" ht="15" customHeight="1"/>
    <row r="567" s="9" customFormat="1" ht="15" customHeight="1"/>
    <row r="568" s="9" customFormat="1" ht="15" customHeight="1"/>
    <row r="569" s="9" customFormat="1" ht="15" customHeight="1"/>
    <row r="570" s="9" customFormat="1" ht="15" customHeight="1"/>
    <row r="571" s="9" customFormat="1" ht="15" customHeight="1"/>
    <row r="572" s="9" customFormat="1" ht="15" customHeight="1"/>
    <row r="573" s="9" customFormat="1" ht="15" customHeight="1"/>
    <row r="574" s="9" customFormat="1" ht="15" customHeight="1"/>
    <row r="575" s="9" customFormat="1" ht="15" customHeight="1"/>
    <row r="576" s="9" customFormat="1" ht="15" customHeight="1"/>
    <row r="577" s="9" customFormat="1" ht="15" customHeight="1"/>
    <row r="578" s="9" customFormat="1" ht="15" customHeight="1"/>
    <row r="579" s="9" customFormat="1" ht="15" customHeight="1"/>
    <row r="580" s="9" customFormat="1" ht="15" customHeight="1"/>
    <row r="581" s="9" customFormat="1" ht="15" customHeight="1"/>
    <row r="582" s="9" customFormat="1" ht="15" customHeight="1"/>
    <row r="583" s="9" customFormat="1" ht="15" customHeight="1"/>
    <row r="584" s="9" customFormat="1" ht="15" customHeight="1"/>
    <row r="585" s="9" customFormat="1" ht="15" customHeight="1"/>
    <row r="586" s="9" customFormat="1" ht="15" customHeight="1"/>
    <row r="587" s="9" customFormat="1" ht="15" customHeight="1"/>
    <row r="588" s="9" customFormat="1" ht="15" customHeight="1"/>
    <row r="589" s="9" customFormat="1" ht="15" customHeight="1"/>
    <row r="590" s="9" customFormat="1" ht="15" customHeight="1"/>
    <row r="591" s="9" customFormat="1" ht="15" customHeight="1"/>
    <row r="592" s="9" customFormat="1" ht="15" customHeight="1"/>
    <row r="593" s="9" customFormat="1" ht="15" customHeight="1"/>
    <row r="594" s="9" customFormat="1" ht="15" customHeight="1"/>
    <row r="595" s="9" customFormat="1" ht="15" customHeight="1"/>
    <row r="596" s="9" customFormat="1" ht="15" customHeight="1"/>
    <row r="597" s="9" customFormat="1" ht="15" customHeight="1"/>
    <row r="598" s="9" customFormat="1" ht="15" customHeight="1"/>
    <row r="599" s="9" customFormat="1" ht="15" customHeight="1"/>
    <row r="600" s="9" customFormat="1" ht="15" customHeight="1"/>
    <row r="601" s="9" customFormat="1" ht="15" customHeight="1"/>
    <row r="602" s="9" customFormat="1" ht="15" customHeight="1"/>
    <row r="603" s="9" customFormat="1" ht="15" customHeight="1"/>
    <row r="604" s="9" customFormat="1" ht="15" customHeight="1"/>
    <row r="605" s="9" customFormat="1" ht="15" customHeight="1"/>
    <row r="606" s="9" customFormat="1" ht="15" customHeight="1"/>
    <row r="607" s="9" customFormat="1" ht="15" customHeight="1"/>
    <row r="608" s="9" customFormat="1" ht="15" customHeight="1"/>
    <row r="609" s="9" customFormat="1" ht="15" customHeight="1"/>
    <row r="610" s="9" customFormat="1" ht="15" customHeight="1"/>
    <row r="611" s="9" customFormat="1" ht="15" customHeight="1"/>
    <row r="612" s="9" customFormat="1" ht="15" customHeight="1"/>
    <row r="613" s="9" customFormat="1" ht="15" customHeight="1"/>
    <row r="614" s="9" customFormat="1" ht="15" customHeight="1"/>
    <row r="615" s="9" customFormat="1" ht="15" customHeight="1"/>
    <row r="616" s="9" customFormat="1" ht="15" customHeight="1"/>
    <row r="617" s="9" customFormat="1" ht="15" customHeight="1"/>
    <row r="618" s="9" customFormat="1" ht="15" customHeight="1"/>
    <row r="619" s="9" customFormat="1" ht="15" customHeight="1"/>
    <row r="620" s="9" customFormat="1" ht="15" customHeight="1"/>
    <row r="621" s="9" customFormat="1" ht="15" customHeight="1"/>
    <row r="622" s="9" customFormat="1" ht="15" customHeight="1"/>
    <row r="623" s="9" customFormat="1" ht="15" customHeight="1"/>
    <row r="624" s="9" customFormat="1" ht="15" customHeight="1"/>
    <row r="625" s="9" customFormat="1" ht="15" customHeight="1"/>
    <row r="626" s="9" customFormat="1" ht="15" customHeight="1"/>
    <row r="627" s="9" customFormat="1" ht="15" customHeight="1"/>
    <row r="628" s="9" customFormat="1" ht="15" customHeight="1"/>
    <row r="629" s="9" customFormat="1" ht="15" customHeight="1"/>
    <row r="630" s="9" customFormat="1" ht="15" customHeight="1"/>
    <row r="631" s="9" customFormat="1" ht="15" customHeight="1"/>
    <row r="632" s="9" customFormat="1" ht="15" customHeight="1"/>
    <row r="633" s="9" customFormat="1" ht="15" customHeight="1"/>
    <row r="634" s="9" customFormat="1" ht="15" customHeight="1"/>
    <row r="635" s="9" customFormat="1" ht="15" customHeight="1"/>
    <row r="636" s="9" customFormat="1" ht="15" customHeight="1"/>
    <row r="637" s="9" customFormat="1" ht="15" customHeight="1"/>
    <row r="638" s="9" customFormat="1" ht="15" customHeight="1"/>
    <row r="639" s="9" customFormat="1" ht="15" customHeight="1"/>
    <row r="640" s="9" customFormat="1" ht="15" customHeight="1"/>
    <row r="641" s="9" customFormat="1" ht="15" customHeight="1"/>
    <row r="642" s="9" customFormat="1" ht="15" customHeight="1"/>
    <row r="643" s="9" customFormat="1" ht="15" customHeight="1"/>
    <row r="644" s="9" customFormat="1" ht="15" customHeight="1"/>
    <row r="645" s="9" customFormat="1" ht="15" customHeight="1"/>
    <row r="646" s="9" customFormat="1" ht="15" customHeight="1"/>
    <row r="647" s="9" customFormat="1" ht="15" customHeight="1"/>
    <row r="648" s="9" customFormat="1" ht="15" customHeight="1"/>
    <row r="649" s="9" customFormat="1" ht="15" customHeight="1"/>
    <row r="650" s="9" customFormat="1" ht="15" customHeight="1"/>
    <row r="651" s="9" customFormat="1" ht="15" customHeight="1"/>
    <row r="652" s="9" customFormat="1" ht="15" customHeight="1"/>
    <row r="653" s="9" customFormat="1" ht="15" customHeight="1"/>
    <row r="654" s="9" customFormat="1" ht="15" customHeight="1"/>
    <row r="655" s="9" customFormat="1" ht="15" customHeight="1"/>
    <row r="656" s="9" customFormat="1" ht="15" customHeight="1"/>
    <row r="657" s="9" customFormat="1" ht="15" customHeight="1"/>
    <row r="658" s="9" customFormat="1" ht="15" customHeight="1"/>
    <row r="659" s="9" customFormat="1" ht="15" customHeight="1"/>
    <row r="660" s="9" customFormat="1" ht="15" customHeight="1"/>
    <row r="661" s="9" customFormat="1" ht="15" customHeight="1"/>
    <row r="662" s="9" customFormat="1" ht="15" customHeight="1"/>
    <row r="663" s="9" customFormat="1" ht="15" customHeight="1"/>
    <row r="664" s="9" customFormat="1" ht="15" customHeight="1"/>
    <row r="665" s="9" customFormat="1" ht="15" customHeight="1"/>
    <row r="666" s="9" customFormat="1" ht="15" customHeight="1"/>
    <row r="667" s="9" customFormat="1" ht="15" customHeight="1"/>
    <row r="668" s="9" customFormat="1" ht="15" customHeight="1"/>
    <row r="669" s="9" customFormat="1" ht="15" customHeight="1"/>
    <row r="670" s="9" customFormat="1" ht="15" customHeight="1"/>
    <row r="671" s="9" customFormat="1" ht="15" customHeight="1"/>
    <row r="672" s="9" customFormat="1" ht="15" customHeight="1"/>
    <row r="673" s="9" customFormat="1" ht="15" customHeight="1"/>
    <row r="674" s="9" customFormat="1" ht="15" customHeight="1"/>
    <row r="675" s="9" customFormat="1" ht="15" customHeight="1"/>
    <row r="676" s="9" customFormat="1" ht="15" customHeight="1"/>
    <row r="677" s="9" customFormat="1" ht="15" customHeight="1"/>
    <row r="678" s="9" customFormat="1" ht="15" customHeight="1"/>
    <row r="679" s="9" customFormat="1" ht="15" customHeight="1"/>
    <row r="680" s="9" customFormat="1" ht="15" customHeight="1"/>
    <row r="681" s="9" customFormat="1" ht="15" customHeight="1"/>
    <row r="682" s="9" customFormat="1" ht="15" customHeight="1"/>
    <row r="683" s="9" customFormat="1" ht="15" customHeight="1"/>
    <row r="684" s="9" customFormat="1" ht="15" customHeight="1"/>
    <row r="685" s="9" customFormat="1" ht="15" customHeight="1"/>
    <row r="686" s="9" customFormat="1" ht="15" customHeight="1"/>
    <row r="687" s="9" customFormat="1" ht="15" customHeight="1"/>
    <row r="688" s="9" customFormat="1" ht="15" customHeight="1"/>
    <row r="689" s="9" customFormat="1" ht="15" customHeight="1"/>
    <row r="690" s="9" customFormat="1" ht="15" customHeight="1"/>
    <row r="691" s="9" customFormat="1" ht="15" customHeight="1"/>
    <row r="692" s="9" customFormat="1" ht="15" customHeight="1"/>
    <row r="693" s="9" customFormat="1" ht="15" customHeight="1"/>
    <row r="694" s="9" customFormat="1" ht="15" customHeight="1"/>
    <row r="695" s="9" customFormat="1" ht="15" customHeight="1"/>
    <row r="696" s="9" customFormat="1" ht="15" customHeight="1"/>
    <row r="697" s="9" customFormat="1" ht="15" customHeight="1"/>
    <row r="698" s="9" customFormat="1" ht="15" customHeight="1"/>
    <row r="699" s="9" customFormat="1" ht="15" customHeight="1"/>
    <row r="700" s="9" customFormat="1" ht="15" customHeight="1"/>
    <row r="701" s="9" customFormat="1" ht="15" customHeight="1"/>
    <row r="702" s="9" customFormat="1" ht="15" customHeight="1"/>
    <row r="703" s="9" customFormat="1" ht="15" customHeight="1"/>
    <row r="704" s="9" customFormat="1" ht="15" customHeight="1"/>
    <row r="705" s="9" customFormat="1" ht="15" customHeight="1"/>
    <row r="706" s="9" customFormat="1" ht="15" customHeight="1"/>
    <row r="707" s="9" customFormat="1" ht="15" customHeight="1"/>
    <row r="708" s="9" customFormat="1" ht="15" customHeight="1"/>
    <row r="709" s="9" customFormat="1" ht="15" customHeight="1"/>
    <row r="710" s="9" customFormat="1" ht="15" customHeight="1"/>
    <row r="711" s="9" customFormat="1" ht="15" customHeight="1"/>
    <row r="712" s="9" customFormat="1" ht="15" customHeight="1"/>
    <row r="713" s="9" customFormat="1" ht="15" customHeight="1"/>
    <row r="714" s="9" customFormat="1" ht="15" customHeight="1"/>
    <row r="715" s="9" customFormat="1" ht="15" customHeight="1"/>
    <row r="716" s="9" customFormat="1" ht="15" customHeight="1"/>
    <row r="717" s="9" customFormat="1" ht="15" customHeight="1"/>
    <row r="718" s="9" customFormat="1" ht="15" customHeight="1"/>
    <row r="719" s="9" customFormat="1" ht="15" customHeight="1"/>
    <row r="720" s="9" customFormat="1" ht="15" customHeight="1"/>
    <row r="721" s="9" customFormat="1" ht="15" customHeight="1"/>
    <row r="722" s="9" customFormat="1" ht="15" customHeight="1"/>
    <row r="723" s="9" customFormat="1" ht="15" customHeight="1"/>
    <row r="724" s="9" customFormat="1" ht="15" customHeight="1"/>
    <row r="725" s="9" customFormat="1" ht="15" customHeight="1"/>
    <row r="726" s="9" customFormat="1" ht="15" customHeight="1"/>
    <row r="727" s="9" customFormat="1" ht="15" customHeight="1"/>
    <row r="728" s="9" customFormat="1" ht="15" customHeight="1"/>
    <row r="729" s="9" customFormat="1" ht="15" customHeight="1"/>
    <row r="730" s="9" customFormat="1" ht="15" customHeight="1"/>
    <row r="731" s="9" customFormat="1" ht="15" customHeight="1"/>
    <row r="732" s="9" customFormat="1" ht="15" customHeight="1"/>
    <row r="733" s="9" customFormat="1" ht="15" customHeight="1"/>
    <row r="734" s="9" customFormat="1" ht="15" customHeight="1"/>
    <row r="735" s="9" customFormat="1" ht="15" customHeight="1"/>
    <row r="736" s="9" customFormat="1" ht="15" customHeight="1"/>
    <row r="737" s="9" customFormat="1" ht="15" customHeight="1"/>
    <row r="738" s="9" customFormat="1" ht="15" customHeight="1"/>
    <row r="739" s="9" customFormat="1" ht="15" customHeight="1"/>
    <row r="740" s="9" customFormat="1" ht="15" customHeight="1"/>
    <row r="741" s="9" customFormat="1" ht="15" customHeight="1"/>
    <row r="742" s="9" customFormat="1" ht="15" customHeight="1"/>
    <row r="743" s="9" customFormat="1" ht="15" customHeight="1"/>
    <row r="744" s="9" customFormat="1" ht="15" customHeight="1"/>
    <row r="745" s="9" customFormat="1" ht="15" customHeight="1"/>
    <row r="746" s="9" customFormat="1" ht="15" customHeight="1"/>
    <row r="747" s="9" customFormat="1" ht="15" customHeight="1"/>
    <row r="748" s="9" customFormat="1" ht="15" customHeight="1"/>
    <row r="749" s="9" customFormat="1" ht="15" customHeight="1"/>
    <row r="750" s="9" customFormat="1" ht="15" customHeight="1"/>
    <row r="751" s="9" customFormat="1" ht="15" customHeight="1"/>
    <row r="752" s="9" customFormat="1" ht="15" customHeight="1"/>
    <row r="753" s="9" customFormat="1" ht="15" customHeight="1"/>
    <row r="754" s="9" customFormat="1" ht="15" customHeight="1"/>
    <row r="755" s="9" customFormat="1" ht="15" customHeight="1"/>
    <row r="756" s="9" customFormat="1" ht="15" customHeight="1"/>
    <row r="757" s="9" customFormat="1" ht="15" customHeight="1"/>
    <row r="758" s="9" customFormat="1" ht="15" customHeight="1"/>
    <row r="759" s="9" customFormat="1" ht="15" customHeight="1"/>
    <row r="760" s="9" customFormat="1" ht="15" customHeight="1"/>
    <row r="761" s="9" customFormat="1" ht="15" customHeight="1"/>
    <row r="762" s="9" customFormat="1" ht="15" customHeight="1"/>
    <row r="763" s="9" customFormat="1" ht="15" customHeight="1"/>
    <row r="764" s="9" customFormat="1" ht="15" customHeight="1"/>
    <row r="765" s="9" customFormat="1" ht="15" customHeight="1"/>
    <row r="766" s="9" customFormat="1" ht="15" customHeight="1"/>
    <row r="767" s="9" customFormat="1" ht="15" customHeight="1"/>
    <row r="768" s="9" customFormat="1" ht="15" customHeight="1"/>
    <row r="769" s="9" customFormat="1" ht="15" customHeight="1"/>
    <row r="770" s="9" customFormat="1" ht="15" customHeight="1"/>
    <row r="771" s="9" customFormat="1" ht="15" customHeight="1"/>
    <row r="772" s="9" customFormat="1" ht="15" customHeight="1"/>
    <row r="773" s="9" customFormat="1" ht="15" customHeight="1"/>
    <row r="774" s="9" customFormat="1" ht="15" customHeight="1"/>
    <row r="775" s="9" customFormat="1" ht="15" customHeight="1"/>
    <row r="776" s="9" customFormat="1" ht="15" customHeight="1"/>
    <row r="777" s="9" customFormat="1" ht="15" customHeight="1"/>
    <row r="778" s="9" customFormat="1" ht="15" customHeight="1"/>
    <row r="779" s="9" customFormat="1" ht="15" customHeight="1"/>
    <row r="780" s="9" customFormat="1" ht="15" customHeight="1"/>
    <row r="781" s="9" customFormat="1" ht="15" customHeight="1"/>
    <row r="782" s="9" customFormat="1" ht="15" customHeight="1"/>
    <row r="783" s="9" customFormat="1" ht="15" customHeight="1"/>
    <row r="784" s="9" customFormat="1" ht="15" customHeight="1"/>
    <row r="785" s="9" customFormat="1" ht="15" customHeight="1"/>
    <row r="786" s="9" customFormat="1" ht="15" customHeight="1"/>
    <row r="787" s="9" customFormat="1" ht="15" customHeight="1"/>
    <row r="788" s="9" customFormat="1" ht="15" customHeight="1"/>
    <row r="789" s="9" customFormat="1" ht="15" customHeight="1"/>
    <row r="790" s="9" customFormat="1" ht="15" customHeight="1"/>
    <row r="791" s="9" customFormat="1" ht="15" customHeight="1"/>
    <row r="792" s="9" customFormat="1" ht="15" customHeight="1"/>
    <row r="793" s="9" customFormat="1" ht="15" customHeight="1"/>
    <row r="794" s="9" customFormat="1" ht="15" customHeight="1"/>
    <row r="795" s="9" customFormat="1" ht="15" customHeight="1"/>
    <row r="796" s="9" customFormat="1" ht="15" customHeight="1"/>
    <row r="797" s="9" customFormat="1" ht="15" customHeight="1"/>
    <row r="798" s="9" customFormat="1" ht="15" customHeight="1"/>
    <row r="799" s="9" customFormat="1" ht="15" customHeight="1"/>
    <row r="800" s="9" customFormat="1" ht="15" customHeight="1"/>
    <row r="801" s="9" customFormat="1" ht="15" customHeight="1"/>
    <row r="802" s="9" customFormat="1" ht="15" customHeight="1"/>
    <row r="803" s="9" customFormat="1" ht="15" customHeight="1"/>
    <row r="804" s="9" customFormat="1" ht="15" customHeight="1"/>
    <row r="805" s="9" customFormat="1" ht="15" customHeight="1"/>
    <row r="806" s="9" customFormat="1" ht="15" customHeight="1"/>
    <row r="807" s="9" customFormat="1" ht="15" customHeight="1"/>
    <row r="808" s="9" customFormat="1" ht="15" customHeight="1"/>
    <row r="809" s="9" customFormat="1" ht="15" customHeight="1"/>
    <row r="810" s="9" customFormat="1" ht="15" customHeight="1"/>
    <row r="811" s="9" customFormat="1" ht="15" customHeight="1"/>
    <row r="812" s="9" customFormat="1" ht="15" customHeight="1"/>
    <row r="813" s="9" customFormat="1" ht="15" customHeight="1"/>
    <row r="814" s="9" customFormat="1" ht="15" customHeight="1"/>
    <row r="815" s="9" customFormat="1" ht="15" customHeight="1"/>
    <row r="816" s="9" customFormat="1" ht="15" customHeight="1"/>
    <row r="817" s="9" customFormat="1" ht="15" customHeight="1"/>
    <row r="818" s="9" customFormat="1" ht="15" customHeight="1"/>
    <row r="819" s="9" customFormat="1" ht="15" customHeight="1"/>
    <row r="820" s="9" customFormat="1" ht="15" customHeight="1"/>
    <row r="821" s="9" customFormat="1" ht="15" customHeight="1"/>
    <row r="822" s="9" customFormat="1" ht="15" customHeight="1"/>
    <row r="823" s="9" customFormat="1" ht="15" customHeight="1"/>
    <row r="824" s="9" customFormat="1" ht="15" customHeight="1"/>
    <row r="825" s="9" customFormat="1" ht="15" customHeight="1"/>
    <row r="826" s="9" customFormat="1" ht="15" customHeight="1"/>
    <row r="827" s="9" customFormat="1" ht="15" customHeight="1"/>
    <row r="828" s="9" customFormat="1" ht="15" customHeight="1"/>
    <row r="829" s="9" customFormat="1" ht="15" customHeight="1"/>
    <row r="830" s="9" customFormat="1" ht="15" customHeight="1"/>
    <row r="831" s="9" customFormat="1" ht="15" customHeight="1"/>
    <row r="832" s="9" customFormat="1" ht="15" customHeight="1"/>
    <row r="833" s="9" customFormat="1" ht="15" customHeight="1"/>
    <row r="834" s="9" customFormat="1" ht="15" customHeight="1"/>
    <row r="835" s="9" customFormat="1" ht="15" customHeight="1"/>
    <row r="836" s="9" customFormat="1" ht="15" customHeight="1"/>
    <row r="837" s="9" customFormat="1" ht="15" customHeight="1"/>
    <row r="838" s="9" customFormat="1" ht="15" customHeight="1"/>
    <row r="839" s="9" customFormat="1" ht="15" customHeight="1"/>
    <row r="840" s="9" customFormat="1" ht="15" customHeight="1"/>
    <row r="841" s="9" customFormat="1" ht="15" customHeight="1"/>
    <row r="842" s="9" customFormat="1" ht="15" customHeight="1"/>
    <row r="843" s="9" customFormat="1" ht="15" customHeight="1"/>
    <row r="844" s="9" customFormat="1" ht="15" customHeight="1"/>
    <row r="845" s="9" customFormat="1" ht="15" customHeight="1"/>
    <row r="846" s="9" customFormat="1" ht="15" customHeight="1"/>
    <row r="847" s="9" customFormat="1" ht="15" customHeight="1"/>
    <row r="848" s="9" customFormat="1" ht="15" customHeight="1"/>
    <row r="849" s="9" customFormat="1" ht="15" customHeight="1"/>
    <row r="850" s="9" customFormat="1" ht="15" customHeight="1"/>
    <row r="851" s="9" customFormat="1" ht="15" customHeight="1"/>
    <row r="852" s="9" customFormat="1" ht="15" customHeight="1"/>
    <row r="853" s="9" customFormat="1" ht="15" customHeight="1"/>
    <row r="854" s="9" customFormat="1" ht="15" customHeight="1"/>
    <row r="855" s="9" customFormat="1" ht="15" customHeight="1"/>
    <row r="856" s="9" customFormat="1" ht="15" customHeight="1"/>
    <row r="857" s="9" customFormat="1" ht="15" customHeight="1"/>
    <row r="858" s="9" customFormat="1" ht="15" customHeight="1"/>
    <row r="859" s="9" customFormat="1" ht="15" customHeight="1"/>
    <row r="860" s="9" customFormat="1" ht="15" customHeight="1"/>
    <row r="861" s="9" customFormat="1" ht="15" customHeight="1"/>
    <row r="862" s="9" customFormat="1" ht="15" customHeight="1"/>
    <row r="863" s="9" customFormat="1" ht="15" customHeight="1"/>
    <row r="864" s="9" customFormat="1" ht="15" customHeight="1"/>
    <row r="865" s="9" customFormat="1" ht="15" customHeight="1"/>
    <row r="866" s="9" customFormat="1" ht="15" customHeight="1"/>
    <row r="867" s="9" customFormat="1" ht="15" customHeight="1"/>
    <row r="868" s="9" customFormat="1" ht="15" customHeight="1"/>
    <row r="869" s="9" customFormat="1" ht="15" customHeight="1"/>
    <row r="870" s="9" customFormat="1" ht="15" customHeight="1"/>
    <row r="871" s="9" customFormat="1" ht="15" customHeight="1"/>
    <row r="872" s="9" customFormat="1" ht="15" customHeight="1"/>
    <row r="873" s="9" customFormat="1" ht="15" customHeight="1"/>
    <row r="874" s="9" customFormat="1" ht="15" customHeight="1"/>
    <row r="875" s="9" customFormat="1" ht="15" customHeight="1"/>
    <row r="876" s="9" customFormat="1" ht="15" customHeight="1"/>
    <row r="877" s="9" customFormat="1" ht="15" customHeight="1"/>
    <row r="878" s="9" customFormat="1" ht="15" customHeight="1"/>
    <row r="879" s="9" customFormat="1" ht="15" customHeight="1"/>
    <row r="880" s="9" customFormat="1" ht="15" customHeight="1"/>
    <row r="881" s="9" customFormat="1" ht="15" customHeight="1"/>
    <row r="882" s="9" customFormat="1" ht="15" customHeight="1"/>
    <row r="883" s="9" customFormat="1" ht="15" customHeight="1"/>
    <row r="884" s="9" customFormat="1" ht="15" customHeight="1"/>
    <row r="885" s="9" customFormat="1" ht="15" customHeight="1"/>
    <row r="886" s="9" customFormat="1" ht="15" customHeight="1"/>
    <row r="887" s="9" customFormat="1" ht="15" customHeight="1"/>
    <row r="888" s="9" customFormat="1" ht="15" customHeight="1"/>
    <row r="889" s="9" customFormat="1" ht="15" customHeight="1"/>
    <row r="890" s="9" customFormat="1" ht="15" customHeight="1"/>
    <row r="891" s="9" customFormat="1" ht="15" customHeight="1"/>
    <row r="892" s="9" customFormat="1" ht="15" customHeight="1"/>
    <row r="893" s="9" customFormat="1" ht="15" customHeight="1"/>
    <row r="894" s="9" customFormat="1" ht="15" customHeight="1"/>
    <row r="895" s="9" customFormat="1" ht="15" customHeight="1"/>
    <row r="896" s="9" customFormat="1" ht="15" customHeight="1"/>
    <row r="897" s="9" customFormat="1" ht="15" customHeight="1"/>
    <row r="898" s="9" customFormat="1" ht="15" customHeight="1"/>
    <row r="899" s="9" customFormat="1" ht="15" customHeight="1"/>
    <row r="900" s="9" customFormat="1" ht="15" customHeight="1"/>
    <row r="901" s="9" customFormat="1" ht="15" customHeight="1"/>
    <row r="902" s="9" customFormat="1" ht="15" customHeight="1"/>
    <row r="903" s="9" customFormat="1" ht="15" customHeight="1"/>
    <row r="904" s="9" customFormat="1" ht="15" customHeight="1"/>
    <row r="905" s="9" customFormat="1" ht="15" customHeight="1"/>
    <row r="906" s="9" customFormat="1" ht="15" customHeight="1"/>
    <row r="907" s="9" customFormat="1" ht="15" customHeight="1"/>
    <row r="908" s="9" customFormat="1" ht="15" customHeight="1"/>
    <row r="909" s="9" customFormat="1" ht="15" customHeight="1"/>
    <row r="910" s="9" customFormat="1" ht="15" customHeight="1"/>
    <row r="911" s="9" customFormat="1" ht="15" customHeight="1"/>
    <row r="912" s="9" customFormat="1" ht="15" customHeight="1"/>
    <row r="913" s="9" customFormat="1" ht="15" customHeight="1"/>
    <row r="914" s="9" customFormat="1" ht="15" customHeight="1"/>
    <row r="915" s="9" customFormat="1" ht="15" customHeight="1"/>
    <row r="916" s="9" customFormat="1" ht="15" customHeight="1"/>
    <row r="917" s="9" customFormat="1" ht="15" customHeight="1"/>
    <row r="918" s="9" customFormat="1" ht="15" customHeight="1"/>
    <row r="919" s="9" customFormat="1" ht="15" customHeight="1"/>
    <row r="920" s="9" customFormat="1" ht="15" customHeight="1"/>
    <row r="921" s="9" customFormat="1" ht="15" customHeight="1"/>
    <row r="922" s="9" customFormat="1" ht="15" customHeight="1"/>
    <row r="923" s="9" customFormat="1" ht="15" customHeight="1"/>
    <row r="924" s="9" customFormat="1" ht="15" customHeight="1"/>
    <row r="925" s="9" customFormat="1" ht="15" customHeight="1"/>
    <row r="926" s="9" customFormat="1" ht="15" customHeight="1"/>
    <row r="927" s="9" customFormat="1" ht="15" customHeight="1"/>
    <row r="928" s="9" customFormat="1" ht="15" customHeight="1"/>
    <row r="929" s="9" customFormat="1" ht="15" customHeight="1"/>
    <row r="930" s="9" customFormat="1" ht="15" customHeight="1"/>
    <row r="931" s="9" customFormat="1" ht="15" customHeight="1"/>
    <row r="932" s="9" customFormat="1" ht="15" customHeight="1"/>
    <row r="933" s="9" customFormat="1" ht="15" customHeight="1"/>
    <row r="934" s="9" customFormat="1" ht="15" customHeight="1"/>
    <row r="935" s="9" customFormat="1" ht="15" customHeight="1"/>
    <row r="936" s="9" customFormat="1" ht="15" customHeight="1"/>
    <row r="937" s="9" customFormat="1" ht="15" customHeight="1"/>
    <row r="938" s="9" customFormat="1" ht="15" customHeight="1"/>
    <row r="939" s="9" customFormat="1" ht="15" customHeight="1"/>
    <row r="940" s="9" customFormat="1" ht="15" customHeight="1"/>
    <row r="941" s="9" customFormat="1" ht="15" customHeight="1"/>
    <row r="942" s="9" customFormat="1" ht="15" customHeight="1"/>
    <row r="943" s="9" customFormat="1" ht="15" customHeight="1"/>
    <row r="944" s="9" customFormat="1" ht="15" customHeight="1"/>
    <row r="945" s="9" customFormat="1" ht="15" customHeight="1"/>
    <row r="946" s="9" customFormat="1" ht="15" customHeight="1"/>
    <row r="947" s="9" customFormat="1" ht="15" customHeight="1"/>
    <row r="948" s="9" customFormat="1" ht="15" customHeight="1"/>
    <row r="949" s="9" customFormat="1" ht="15" customHeight="1"/>
    <row r="950" s="9" customFormat="1" ht="15" customHeight="1"/>
    <row r="951" s="9" customFormat="1" ht="15" customHeight="1"/>
    <row r="952" s="9" customFormat="1" ht="15" customHeight="1"/>
    <row r="953" s="9" customFormat="1" ht="15" customHeight="1"/>
    <row r="954" s="9" customFormat="1" ht="15" customHeight="1"/>
    <row r="955" s="9" customFormat="1" ht="15" customHeight="1"/>
    <row r="956" s="9" customFormat="1" ht="15" customHeight="1"/>
    <row r="957" s="9" customFormat="1" ht="15" customHeight="1"/>
    <row r="958" s="9" customFormat="1" ht="15" customHeight="1"/>
    <row r="959" s="9" customFormat="1" ht="15" customHeight="1"/>
    <row r="960" s="9" customFormat="1" ht="15" customHeight="1"/>
    <row r="961" s="9" customFormat="1" ht="15" customHeight="1"/>
    <row r="962" s="9" customFormat="1" ht="15" customHeight="1"/>
    <row r="963" s="9" customFormat="1" ht="15" customHeight="1"/>
    <row r="964" s="9" customFormat="1" ht="15" customHeight="1"/>
    <row r="965" s="9" customFormat="1" ht="15" customHeight="1"/>
    <row r="966" s="9" customFormat="1" ht="15" customHeight="1"/>
    <row r="967" s="9" customFormat="1" ht="15" customHeight="1"/>
    <row r="968" s="9" customFormat="1" ht="15" customHeight="1"/>
    <row r="969" s="9" customFormat="1" ht="15" customHeight="1"/>
  </sheetData>
  <mergeCells count="141">
    <mergeCell ref="C34:C35"/>
    <mergeCell ref="C38:C39"/>
    <mergeCell ref="C42:C43"/>
    <mergeCell ref="Q2:T3"/>
    <mergeCell ref="R11:T11"/>
    <mergeCell ref="F2:G2"/>
    <mergeCell ref="F3:G3"/>
    <mergeCell ref="H5:O5"/>
    <mergeCell ref="H6:O6"/>
    <mergeCell ref="H4:O4"/>
    <mergeCell ref="E4:G4"/>
    <mergeCell ref="E5:G5"/>
    <mergeCell ref="E6:G6"/>
    <mergeCell ref="P42:P43"/>
    <mergeCell ref="L40:L43"/>
    <mergeCell ref="M40:M43"/>
    <mergeCell ref="N40:N43"/>
    <mergeCell ref="H2:O2"/>
    <mergeCell ref="H3:O3"/>
    <mergeCell ref="M24:M27"/>
    <mergeCell ref="N24:N27"/>
    <mergeCell ref="O24:O27"/>
    <mergeCell ref="H24:H27"/>
    <mergeCell ref="H40:H43"/>
    <mergeCell ref="B36:B39"/>
    <mergeCell ref="D36:D38"/>
    <mergeCell ref="E36:G36"/>
    <mergeCell ref="B40:B43"/>
    <mergeCell ref="D40:D42"/>
    <mergeCell ref="E40:G40"/>
    <mergeCell ref="E37:G39"/>
    <mergeCell ref="E41:G43"/>
    <mergeCell ref="P38:P39"/>
    <mergeCell ref="H36:H39"/>
    <mergeCell ref="I36:I39"/>
    <mergeCell ref="J36:J39"/>
    <mergeCell ref="K36:K39"/>
    <mergeCell ref="L36:L39"/>
    <mergeCell ref="J40:J43"/>
    <mergeCell ref="K40:K43"/>
    <mergeCell ref="O40:O43"/>
    <mergeCell ref="M36:M39"/>
    <mergeCell ref="N36:N39"/>
    <mergeCell ref="O36:O39"/>
    <mergeCell ref="H28:H31"/>
    <mergeCell ref="I28:I31"/>
    <mergeCell ref="J28:J31"/>
    <mergeCell ref="K28:K31"/>
    <mergeCell ref="P20:P21"/>
    <mergeCell ref="D32:D34"/>
    <mergeCell ref="D20:D22"/>
    <mergeCell ref="D24:D26"/>
    <mergeCell ref="I40:I43"/>
    <mergeCell ref="P40:P41"/>
    <mergeCell ref="P22:P23"/>
    <mergeCell ref="P24:P25"/>
    <mergeCell ref="P26:P27"/>
    <mergeCell ref="P36:P37"/>
    <mergeCell ref="B24:B27"/>
    <mergeCell ref="B20:B23"/>
    <mergeCell ref="C26:C27"/>
    <mergeCell ref="C22:C23"/>
    <mergeCell ref="H21:H23"/>
    <mergeCell ref="E11:G11"/>
    <mergeCell ref="K12:O12"/>
    <mergeCell ref="E12:G12"/>
    <mergeCell ref="B13:C17"/>
    <mergeCell ref="E24:G24"/>
    <mergeCell ref="E25:G27"/>
    <mergeCell ref="S20:S23"/>
    <mergeCell ref="J22:J23"/>
    <mergeCell ref="L21:L23"/>
    <mergeCell ref="M21:M23"/>
    <mergeCell ref="N21:N23"/>
    <mergeCell ref="O21:O23"/>
    <mergeCell ref="H20:O20"/>
    <mergeCell ref="R20:R23"/>
    <mergeCell ref="I22:I23"/>
    <mergeCell ref="L24:L27"/>
    <mergeCell ref="I24:I27"/>
    <mergeCell ref="J24:J27"/>
    <mergeCell ref="K24:K27"/>
    <mergeCell ref="K21:K23"/>
    <mergeCell ref="I21:J21"/>
    <mergeCell ref="B2:C2"/>
    <mergeCell ref="B3:C3"/>
    <mergeCell ref="E7:G7"/>
    <mergeCell ref="B4:C7"/>
    <mergeCell ref="K8:O8"/>
    <mergeCell ref="H8:J8"/>
    <mergeCell ref="H9:J9"/>
    <mergeCell ref="H7:O7"/>
    <mergeCell ref="E8:G8"/>
    <mergeCell ref="E9:G9"/>
    <mergeCell ref="B8:C12"/>
    <mergeCell ref="H11:J11"/>
    <mergeCell ref="K11:O11"/>
    <mergeCell ref="P8:P9"/>
    <mergeCell ref="H12:J12"/>
    <mergeCell ref="K9:O9"/>
    <mergeCell ref="H10:J10"/>
    <mergeCell ref="K10:O10"/>
    <mergeCell ref="R10:T10"/>
    <mergeCell ref="T20:T23"/>
    <mergeCell ref="E20:G20"/>
    <mergeCell ref="E10:G10"/>
    <mergeCell ref="E21:G23"/>
    <mergeCell ref="P10:P17"/>
    <mergeCell ref="R14:T15"/>
    <mergeCell ref="R16:T17"/>
    <mergeCell ref="Q14:Q15"/>
    <mergeCell ref="Q16:Q17"/>
    <mergeCell ref="Q20:Q23"/>
    <mergeCell ref="H19:Q19"/>
    <mergeCell ref="R12:T13"/>
    <mergeCell ref="Q12:Q13"/>
    <mergeCell ref="E13:O17"/>
    <mergeCell ref="B32:B35"/>
    <mergeCell ref="B28:B31"/>
    <mergeCell ref="C30:C31"/>
    <mergeCell ref="M28:M31"/>
    <mergeCell ref="L28:L31"/>
    <mergeCell ref="P28:P29"/>
    <mergeCell ref="P34:P35"/>
    <mergeCell ref="E29:G31"/>
    <mergeCell ref="E28:G28"/>
    <mergeCell ref="P32:P33"/>
    <mergeCell ref="P30:P31"/>
    <mergeCell ref="E32:G32"/>
    <mergeCell ref="D28:D30"/>
    <mergeCell ref="N28:N31"/>
    <mergeCell ref="E33:G35"/>
    <mergeCell ref="O28:O31"/>
    <mergeCell ref="N32:N35"/>
    <mergeCell ref="O32:O35"/>
    <mergeCell ref="H32:H35"/>
    <mergeCell ref="I32:I35"/>
    <mergeCell ref="J32:J35"/>
    <mergeCell ref="K32:K35"/>
    <mergeCell ref="L32:L35"/>
    <mergeCell ref="M32:M35"/>
  </mergeCells>
  <phoneticPr fontId="2"/>
  <dataValidations xWindow="1290" yWindow="494" count="9">
    <dataValidation type="list" allowBlank="1" showInputMessage="1" showErrorMessage="1" promptTitle="性別入力" sqref="F3" xr:uid="{00000000-0002-0000-0200-000000000000}">
      <formula1>性別リスト</formula1>
    </dataValidation>
    <dataValidation type="list" allowBlank="1" showInputMessage="1" showErrorMessage="1" promptTitle="役割の入力" prompt="該当する項目がない場合は、［選択リスト一覧］に追加／修正する。" sqref="P24 P28 P36 P40 P32" xr:uid="{00000000-0002-0000-0200-000001000000}">
      <formula1>役割リスト</formula1>
    </dataValidation>
    <dataValidation type="list" allowBlank="1" showInputMessage="1" showErrorMessage="1" promptTitle="機種の入力" prompt="該当する項目がない場合は、［選択リスト一覧］に追加／修正する。" sqref="Q36 Q38 Q32 Q28 Q34 Q30 Q24 Q26 Q40 Q42" xr:uid="{00000000-0002-0000-0200-000002000000}">
      <formula1>機種リスト</formula1>
    </dataValidation>
    <dataValidation type="list" allowBlank="1" showInputMessage="1" showErrorMessage="1" promptTitle="ＯＳの入力" prompt="該当する項目がない場合は、［選択リスト一覧］に追加／修正する。" sqref="Q37 Q29 Q39 Q35 Q33 Q27 Q25 Q41 Q43 Q31" xr:uid="{00000000-0002-0000-0200-000003000000}">
      <formula1>ＯＳリスト</formula1>
    </dataValidation>
    <dataValidation imeMode="halfKatakana" allowBlank="1" showInputMessage="1" showErrorMessage="1" sqref="E2" xr:uid="{00000000-0002-0000-0200-000007000000}"/>
    <dataValidation type="list" allowBlank="1" showInputMessage="1" showErrorMessage="1" promptTitle="言語の入力" prompt="該当する項目がない場合は、［選択リスト一覧］に追加／修正する。" sqref="R24:R43" xr:uid="{00000000-0002-0000-0200-000004000000}">
      <formula1>言語リスト</formula1>
    </dataValidation>
    <dataValidation type="list" allowBlank="1" showInputMessage="1" showErrorMessage="1" promptTitle="ＤＢ／ＤＣの入力" prompt="該当する項目がない場合は、［選択リスト一覧］に追加／修正する。" sqref="S24:S43" xr:uid="{00000000-0002-0000-0200-000005000000}">
      <formula1>ＤＢ・DCリスト</formula1>
    </dataValidation>
    <dataValidation type="list" allowBlank="1" showInputMessage="1" showErrorMessage="1" promptTitle="プロダクトの入力" prompt="該当する項目がない場合は、［選択リスト一覧］に追加／修正する。" sqref="T24:T43" xr:uid="{00000000-0002-0000-0200-000006000000}">
      <formula1>プロダクトリスト</formula1>
    </dataValidation>
    <dataValidation type="list" allowBlank="1" showInputMessage="1" showErrorMessage="1" sqref="H24:O43" xr:uid="{00000000-0002-0000-0200-000008000000}">
      <formula1>業務範囲</formula1>
    </dataValidation>
  </dataValidations>
  <pageMargins left="0.59055118110236227" right="0.19685039370078741" top="0.78740157480314965" bottom="0.78740157480314965" header="0.51181102362204722" footer="0.51181102362204722"/>
  <pageSetup paperSize="9" scale="71" orientation="portrait" horizontalDpi="4294967292" verticalDpi="1200" r:id="rId1"/>
  <headerFooter alignWithMargins="0">
    <oddHeader>&amp;L&amp;9様式第２号&amp;C&amp;8&amp;U
&amp;"ＭＳ Ｐゴシック,太字"&amp;20技術者スキルシート&amp;R&amp;9㈱ウェイン管理部200704</oddHeader>
    <oddFooter>&amp;Lこの頁には個人情報が含まれていますので、お取扱いにはご注意くださいますようお願い申し上げます。&amp;R&amp;P/&amp;N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㈱ウェイン</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ウェインスキルシート標準フォーマット</dc:title>
  <dc:subject/>
  <dc:creator>張寧一</dc:creator>
  <cp:keywords/>
  <dc:description/>
  <cp:lastModifiedBy/>
  <cp:revision/>
  <dcterms:created xsi:type="dcterms:W3CDTF">2002-05-22T09:34:43Z</dcterms:created>
  <dcterms:modified xsi:type="dcterms:W3CDTF">2026-04-07T01:02:34Z</dcterms:modified>
  <cp:category/>
  <cp:contentStatus/>
</cp:coreProperties>
</file>