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768d6fcf9e88e5/デスクトップ/wain/"/>
    </mc:Choice>
  </mc:AlternateContent>
  <xr:revisionPtr revIDLastSave="7" documentId="13_ncr:1_{007D5E64-B8D9-4A5C-96BE-E4521EE33140}" xr6:coauthVersionLast="47" xr6:coauthVersionMax="47" xr10:uidLastSave="{DF17AB16-BCCE-4274-9CFE-928BCD8A4FD1}"/>
  <bookViews>
    <workbookView xWindow="1900" yWindow="1900" windowWidth="14400" windowHeight="7270" xr2:uid="{25606850-0A94-4EB7-B268-C2D2D7DAE7B5}"/>
  </bookViews>
  <sheets>
    <sheet name="勤務兼作業報告書 (2026年)" sheetId="10" r:id="rId1"/>
    <sheet name="勤務兼作業報告書 (記入例)" sheetId="12" r:id="rId2"/>
  </sheets>
  <definedNames>
    <definedName name="_xlnm.Print_Area" localSheetId="0">'勤務兼作業報告書 (2026年)'!$A$1:$Q$41</definedName>
    <definedName name="_xlnm.Print_Area" localSheetId="1">'勤務兼作業報告書 (記入例)'!$A$1:$Q$41</definedName>
    <definedName name="システム開発１部" localSheetId="0">'勤務兼作業報告書 (2026年)'!$P$1:$Q$1</definedName>
    <definedName name="システム開発１部" localSheetId="1">'勤務兼作業報告書 (記入例)'!$P$1:$Q$1</definedName>
    <definedName name="システム開発１部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10" l="1" a="1"/>
  <c r="C41" i="10" s="1"/>
  <c r="C40" i="12"/>
  <c r="C41" i="12" a="1"/>
  <c r="C41" i="12" s="1"/>
  <c r="J35" i="12"/>
  <c r="G41" i="12" l="1"/>
  <c r="Q40" i="12"/>
  <c r="H39" i="12"/>
  <c r="N41" i="12" s="1"/>
  <c r="G39" i="12"/>
  <c r="F38" i="12"/>
  <c r="I38" i="12" s="1"/>
  <c r="J38" i="12" s="1"/>
  <c r="K38" i="12" s="1"/>
  <c r="E38" i="12"/>
  <c r="E37" i="12"/>
  <c r="F37" i="12" s="1"/>
  <c r="I37" i="12" s="1"/>
  <c r="J37" i="12" s="1"/>
  <c r="K37" i="12" s="1"/>
  <c r="F36" i="12"/>
  <c r="I36" i="12" s="1"/>
  <c r="J36" i="12" s="1"/>
  <c r="K36" i="12" s="1"/>
  <c r="E36" i="12"/>
  <c r="E35" i="12"/>
  <c r="F35" i="12" s="1"/>
  <c r="I35" i="12" s="1"/>
  <c r="K35" i="12" s="1"/>
  <c r="F34" i="12"/>
  <c r="I34" i="12" s="1"/>
  <c r="J34" i="12" s="1"/>
  <c r="K34" i="12" s="1"/>
  <c r="E34" i="12"/>
  <c r="E33" i="12"/>
  <c r="F33" i="12" s="1"/>
  <c r="I33" i="12" s="1"/>
  <c r="J33" i="12" s="1"/>
  <c r="K33" i="12" s="1"/>
  <c r="E32" i="12"/>
  <c r="F32" i="12" s="1"/>
  <c r="I32" i="12" s="1"/>
  <c r="J32" i="12" s="1"/>
  <c r="K32" i="12" s="1"/>
  <c r="F31" i="12"/>
  <c r="I31" i="12" s="1"/>
  <c r="J31" i="12" s="1"/>
  <c r="K31" i="12" s="1"/>
  <c r="E31" i="12"/>
  <c r="E30" i="12"/>
  <c r="F30" i="12" s="1"/>
  <c r="I30" i="12" s="1"/>
  <c r="J30" i="12" s="1"/>
  <c r="K30" i="12" s="1"/>
  <c r="E29" i="12"/>
  <c r="F29" i="12" s="1"/>
  <c r="I29" i="12" s="1"/>
  <c r="J29" i="12" s="1"/>
  <c r="K29" i="12" s="1"/>
  <c r="E28" i="12"/>
  <c r="F28" i="12" s="1"/>
  <c r="I28" i="12" s="1"/>
  <c r="J28" i="12" s="1"/>
  <c r="K28" i="12" s="1"/>
  <c r="E27" i="12"/>
  <c r="F27" i="12" s="1"/>
  <c r="I27" i="12" s="1"/>
  <c r="J27" i="12" s="1"/>
  <c r="K27" i="12" s="1"/>
  <c r="E26" i="12"/>
  <c r="F26" i="12" s="1"/>
  <c r="I26" i="12" s="1"/>
  <c r="J26" i="12" s="1"/>
  <c r="K26" i="12" s="1"/>
  <c r="E25" i="12"/>
  <c r="F25" i="12" s="1"/>
  <c r="I25" i="12" s="1"/>
  <c r="J25" i="12" s="1"/>
  <c r="K25" i="12" s="1"/>
  <c r="F24" i="12"/>
  <c r="I24" i="12" s="1"/>
  <c r="J24" i="12" s="1"/>
  <c r="K24" i="12" s="1"/>
  <c r="E24" i="12"/>
  <c r="E23" i="12"/>
  <c r="F23" i="12" s="1"/>
  <c r="I23" i="12" s="1"/>
  <c r="J23" i="12" s="1"/>
  <c r="K23" i="12" s="1"/>
  <c r="E22" i="12"/>
  <c r="F22" i="12" s="1"/>
  <c r="I22" i="12" s="1"/>
  <c r="J22" i="12" s="1"/>
  <c r="K22" i="12" s="1"/>
  <c r="E21" i="12"/>
  <c r="F21" i="12" s="1"/>
  <c r="I21" i="12" s="1"/>
  <c r="J21" i="12" s="1"/>
  <c r="K21" i="12" s="1"/>
  <c r="E20" i="12"/>
  <c r="F20" i="12" s="1"/>
  <c r="I20" i="12" s="1"/>
  <c r="J20" i="12" s="1"/>
  <c r="K20" i="12" s="1"/>
  <c r="E19" i="12"/>
  <c r="F19" i="12" s="1"/>
  <c r="I19" i="12" s="1"/>
  <c r="J19" i="12" s="1"/>
  <c r="K19" i="12" s="1"/>
  <c r="F18" i="12"/>
  <c r="I18" i="12" s="1"/>
  <c r="J18" i="12" s="1"/>
  <c r="K18" i="12" s="1"/>
  <c r="E18" i="12"/>
  <c r="E17" i="12"/>
  <c r="F17" i="12" s="1"/>
  <c r="I17" i="12" s="1"/>
  <c r="J17" i="12" s="1"/>
  <c r="K17" i="12" s="1"/>
  <c r="E16" i="12"/>
  <c r="F16" i="12" s="1"/>
  <c r="I16" i="12" s="1"/>
  <c r="J16" i="12" s="1"/>
  <c r="K16" i="12" s="1"/>
  <c r="E15" i="12"/>
  <c r="F15" i="12" s="1"/>
  <c r="I15" i="12" s="1"/>
  <c r="J15" i="12" s="1"/>
  <c r="K15" i="12" s="1"/>
  <c r="E14" i="12"/>
  <c r="F14" i="12" s="1"/>
  <c r="I14" i="12" s="1"/>
  <c r="J14" i="12" s="1"/>
  <c r="K14" i="12" s="1"/>
  <c r="E13" i="12"/>
  <c r="F13" i="12" s="1"/>
  <c r="I13" i="12" s="1"/>
  <c r="J13" i="12" s="1"/>
  <c r="K13" i="12" s="1"/>
  <c r="E12" i="12"/>
  <c r="F12" i="12" s="1"/>
  <c r="I12" i="12" s="1"/>
  <c r="J12" i="12" s="1"/>
  <c r="K12" i="12" s="1"/>
  <c r="E11" i="12"/>
  <c r="F11" i="12" s="1"/>
  <c r="I11" i="12" s="1"/>
  <c r="J11" i="12" s="1"/>
  <c r="K11" i="12" s="1"/>
  <c r="E10" i="12"/>
  <c r="F10" i="12" s="1"/>
  <c r="I10" i="12" s="1"/>
  <c r="J10" i="12" s="1"/>
  <c r="K10" i="12" s="1"/>
  <c r="E9" i="12"/>
  <c r="F9" i="12" s="1"/>
  <c r="I9" i="12" s="1"/>
  <c r="J9" i="12" s="1"/>
  <c r="K9" i="12" s="1"/>
  <c r="E8" i="12"/>
  <c r="F8" i="12" s="1"/>
  <c r="I8" i="12" s="1"/>
  <c r="J8" i="12" s="1"/>
  <c r="A8" i="12"/>
  <c r="B8" i="12" s="1"/>
  <c r="G40" i="12" l="1"/>
  <c r="K41" i="12" s="1"/>
  <c r="Q41" i="12" s="1"/>
  <c r="K8" i="12"/>
  <c r="K40" i="12" s="1"/>
  <c r="N40" i="12" s="1"/>
  <c r="A9" i="12"/>
  <c r="B9" i="12" l="1"/>
  <c r="A10" i="12"/>
  <c r="B10" i="12" l="1"/>
  <c r="A11" i="12"/>
  <c r="B11" i="12" l="1"/>
  <c r="A12" i="12"/>
  <c r="H39" i="10"/>
  <c r="B12" i="12" l="1"/>
  <c r="A13" i="12"/>
  <c r="A14" i="12" l="1"/>
  <c r="B13" i="12"/>
  <c r="A15" i="12" l="1"/>
  <c r="B14" i="12"/>
  <c r="B15" i="12" l="1"/>
  <c r="A16" i="12"/>
  <c r="B16" i="12" l="1"/>
  <c r="A17" i="12"/>
  <c r="B17" i="12" l="1"/>
  <c r="A18" i="12"/>
  <c r="A19" i="12" l="1"/>
  <c r="B18" i="12"/>
  <c r="B19" i="12" l="1"/>
  <c r="A20" i="12"/>
  <c r="B20" i="12" l="1"/>
  <c r="A21" i="12"/>
  <c r="A22" i="12" l="1"/>
  <c r="B21" i="12"/>
  <c r="A23" i="12" l="1"/>
  <c r="B22" i="12"/>
  <c r="A24" i="12" l="1"/>
  <c r="B23" i="12"/>
  <c r="B24" i="12" l="1"/>
  <c r="A25" i="12"/>
  <c r="B25" i="12" l="1"/>
  <c r="A26" i="12"/>
  <c r="B26" i="12" l="1"/>
  <c r="A27" i="12"/>
  <c r="B27" i="12" l="1"/>
  <c r="A28" i="12"/>
  <c r="A29" i="12" l="1"/>
  <c r="B28" i="12"/>
  <c r="A30" i="12" l="1"/>
  <c r="B29" i="12"/>
  <c r="A31" i="12" l="1"/>
  <c r="B30" i="12"/>
  <c r="B31" i="12" l="1"/>
  <c r="A32" i="12"/>
  <c r="A33" i="12" l="1"/>
  <c r="B32" i="12"/>
  <c r="B33" i="12" l="1"/>
  <c r="A34" i="12"/>
  <c r="B34" i="12" l="1"/>
  <c r="A35" i="12"/>
  <c r="A36" i="12" l="1"/>
  <c r="B36" i="12" s="1"/>
  <c r="A38" i="12"/>
  <c r="B38" i="12" s="1"/>
  <c r="A37" i="12"/>
  <c r="B37" i="12" s="1"/>
  <c r="B35" i="12"/>
  <c r="G41" i="10" l="1"/>
  <c r="A8" i="10"/>
  <c r="A9" i="10" s="1"/>
  <c r="Q40" i="10"/>
  <c r="C40" i="10"/>
  <c r="B8" i="10" l="1"/>
  <c r="B9" i="10"/>
  <c r="A10" i="10"/>
  <c r="B10" i="10" l="1"/>
  <c r="A11" i="10"/>
  <c r="B11" i="10" l="1"/>
  <c r="A12" i="10"/>
  <c r="B12" i="10" l="1"/>
  <c r="A13" i="10"/>
  <c r="B13" i="10" l="1"/>
  <c r="A14" i="10"/>
  <c r="A15" i="10" l="1"/>
  <c r="B14" i="10"/>
  <c r="A16" i="10" l="1"/>
  <c r="B15" i="10"/>
  <c r="B16" i="10" l="1"/>
  <c r="A17" i="10"/>
  <c r="A18" i="10" l="1"/>
  <c r="B17" i="10"/>
  <c r="B18" i="10" l="1"/>
  <c r="A19" i="10"/>
  <c r="B19" i="10" l="1"/>
  <c r="A20" i="10"/>
  <c r="B20" i="10" l="1"/>
  <c r="A21" i="10"/>
  <c r="B21" i="10" l="1"/>
  <c r="A22" i="10"/>
  <c r="B22" i="10" l="1"/>
  <c r="A23" i="10"/>
  <c r="A24" i="10" l="1"/>
  <c r="B23" i="10"/>
  <c r="B24" i="10" l="1"/>
  <c r="A25" i="10"/>
  <c r="A26" i="10" l="1"/>
  <c r="B25" i="10"/>
  <c r="B26" i="10" l="1"/>
  <c r="A27" i="10"/>
  <c r="B27" i="10" l="1"/>
  <c r="A28" i="10"/>
  <c r="A29" i="10" l="1"/>
  <c r="B28" i="10"/>
  <c r="B29" i="10" l="1"/>
  <c r="A30" i="10"/>
  <c r="A31" i="10" l="1"/>
  <c r="B30" i="10"/>
  <c r="A32" i="10" l="1"/>
  <c r="B31" i="10"/>
  <c r="B32" i="10" l="1"/>
  <c r="A33" i="10"/>
  <c r="B33" i="10" l="1"/>
  <c r="A34" i="10"/>
  <c r="B34" i="10" l="1"/>
  <c r="A35" i="10"/>
  <c r="A37" i="10" l="1"/>
  <c r="B37" i="10" s="1"/>
  <c r="B35" i="10"/>
  <c r="A36" i="10"/>
  <c r="B36" i="10" s="1"/>
  <c r="A38" i="10"/>
  <c r="B38" i="10" s="1"/>
  <c r="N41" i="10" l="1"/>
  <c r="G39" i="10"/>
  <c r="E38" i="10"/>
  <c r="F38" i="10" s="1"/>
  <c r="I38" i="10" s="1"/>
  <c r="J38" i="10" s="1"/>
  <c r="K38" i="10" s="1"/>
  <c r="E37" i="10"/>
  <c r="F37" i="10" s="1"/>
  <c r="I37" i="10" s="1"/>
  <c r="J37" i="10" s="1"/>
  <c r="K37" i="10" s="1"/>
  <c r="E36" i="10"/>
  <c r="F36" i="10" s="1"/>
  <c r="I36" i="10" s="1"/>
  <c r="J36" i="10" s="1"/>
  <c r="K36" i="10" s="1"/>
  <c r="E35" i="10"/>
  <c r="F35" i="10" s="1"/>
  <c r="I35" i="10" s="1"/>
  <c r="J35" i="10" s="1"/>
  <c r="K35" i="10" s="1"/>
  <c r="E34" i="10"/>
  <c r="F34" i="10" s="1"/>
  <c r="I34" i="10" s="1"/>
  <c r="J34" i="10" s="1"/>
  <c r="K34" i="10" s="1"/>
  <c r="E33" i="10"/>
  <c r="F33" i="10" s="1"/>
  <c r="I33" i="10" s="1"/>
  <c r="J33" i="10" s="1"/>
  <c r="K33" i="10" s="1"/>
  <c r="E32" i="10"/>
  <c r="F32" i="10" s="1"/>
  <c r="I32" i="10" s="1"/>
  <c r="J32" i="10" s="1"/>
  <c r="K32" i="10" s="1"/>
  <c r="E31" i="10"/>
  <c r="F31" i="10" s="1"/>
  <c r="I31" i="10" s="1"/>
  <c r="J31" i="10" s="1"/>
  <c r="K31" i="10" s="1"/>
  <c r="E30" i="10"/>
  <c r="F30" i="10" s="1"/>
  <c r="I30" i="10" s="1"/>
  <c r="J30" i="10" s="1"/>
  <c r="K30" i="10" s="1"/>
  <c r="E29" i="10"/>
  <c r="F29" i="10" s="1"/>
  <c r="I29" i="10" s="1"/>
  <c r="E28" i="10"/>
  <c r="F28" i="10" s="1"/>
  <c r="I28" i="10" s="1"/>
  <c r="J28" i="10" s="1"/>
  <c r="K28" i="10" s="1"/>
  <c r="E27" i="10"/>
  <c r="F27" i="10" s="1"/>
  <c r="I27" i="10" s="1"/>
  <c r="J27" i="10" s="1"/>
  <c r="K27" i="10" s="1"/>
  <c r="E26" i="10"/>
  <c r="F26" i="10" s="1"/>
  <c r="I26" i="10" s="1"/>
  <c r="J26" i="10" s="1"/>
  <c r="K26" i="10" s="1"/>
  <c r="E25" i="10"/>
  <c r="F25" i="10" s="1"/>
  <c r="I25" i="10" s="1"/>
  <c r="J25" i="10" s="1"/>
  <c r="K25" i="10" s="1"/>
  <c r="E24" i="10"/>
  <c r="F24" i="10" s="1"/>
  <c r="I24" i="10" s="1"/>
  <c r="J24" i="10" s="1"/>
  <c r="K24" i="10" s="1"/>
  <c r="E23" i="10"/>
  <c r="F23" i="10" s="1"/>
  <c r="I23" i="10" s="1"/>
  <c r="J23" i="10" s="1"/>
  <c r="K23" i="10" s="1"/>
  <c r="E22" i="10"/>
  <c r="F22" i="10" s="1"/>
  <c r="I22" i="10" s="1"/>
  <c r="J22" i="10" s="1"/>
  <c r="K22" i="10" s="1"/>
  <c r="E21" i="10"/>
  <c r="F21" i="10" s="1"/>
  <c r="I21" i="10" s="1"/>
  <c r="J21" i="10" s="1"/>
  <c r="K21" i="10" s="1"/>
  <c r="E20" i="10"/>
  <c r="F20" i="10" s="1"/>
  <c r="I20" i="10" s="1"/>
  <c r="J20" i="10" s="1"/>
  <c r="E19" i="10"/>
  <c r="F19" i="10" s="1"/>
  <c r="I19" i="10" s="1"/>
  <c r="J19" i="10" s="1"/>
  <c r="K19" i="10" s="1"/>
  <c r="E18" i="10"/>
  <c r="F18" i="10" s="1"/>
  <c r="I18" i="10" s="1"/>
  <c r="J18" i="10" s="1"/>
  <c r="K18" i="10" s="1"/>
  <c r="E17" i="10"/>
  <c r="F17" i="10" s="1"/>
  <c r="I17" i="10" s="1"/>
  <c r="J17" i="10" s="1"/>
  <c r="K17" i="10" s="1"/>
  <c r="E16" i="10"/>
  <c r="F16" i="10" s="1"/>
  <c r="I16" i="10" s="1"/>
  <c r="J16" i="10" s="1"/>
  <c r="K16" i="10" s="1"/>
  <c r="E15" i="10"/>
  <c r="F15" i="10" s="1"/>
  <c r="I15" i="10" s="1"/>
  <c r="J15" i="10" s="1"/>
  <c r="K15" i="10" s="1"/>
  <c r="E14" i="10"/>
  <c r="F14" i="10" s="1"/>
  <c r="I14" i="10" s="1"/>
  <c r="J14" i="10" s="1"/>
  <c r="K14" i="10" s="1"/>
  <c r="E13" i="10"/>
  <c r="F13" i="10" s="1"/>
  <c r="I13" i="10" s="1"/>
  <c r="J13" i="10" s="1"/>
  <c r="K13" i="10" s="1"/>
  <c r="E12" i="10"/>
  <c r="F12" i="10" s="1"/>
  <c r="I12" i="10" s="1"/>
  <c r="J12" i="10" s="1"/>
  <c r="K12" i="10" s="1"/>
  <c r="E11" i="10"/>
  <c r="F11" i="10" s="1"/>
  <c r="I11" i="10" s="1"/>
  <c r="J11" i="10" s="1"/>
  <c r="E10" i="10"/>
  <c r="F10" i="10" s="1"/>
  <c r="I10" i="10" s="1"/>
  <c r="J10" i="10" s="1"/>
  <c r="K10" i="10" s="1"/>
  <c r="E9" i="10"/>
  <c r="F9" i="10" s="1"/>
  <c r="I9" i="10" s="1"/>
  <c r="J9" i="10" s="1"/>
  <c r="K9" i="10" s="1"/>
  <c r="E8" i="10"/>
  <c r="F8" i="10" s="1"/>
  <c r="I8" i="10" s="1"/>
  <c r="J8" i="10" s="1"/>
  <c r="J29" i="10" l="1"/>
  <c r="K29" i="10" s="1"/>
  <c r="K20" i="10"/>
  <c r="K11" i="10"/>
  <c r="K8" i="10"/>
  <c r="G40" i="10" l="1"/>
  <c r="K41" i="10" s="1"/>
  <c r="Q41" i="10" s="1"/>
  <c r="K40" i="10"/>
  <c r="N40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張寧一</author>
  </authors>
  <commentList>
    <comment ref="M6" authorId="0" shapeId="0" xr:uid="{2F46ED53-C4FC-4BDE-BA01-AB385F49C1EF}">
      <text>
        <r>
          <rPr>
            <sz val="9"/>
            <color indexed="81"/>
            <rFont val="MS P ゴシック"/>
            <family val="3"/>
            <charset val="128"/>
          </rPr>
          <t>備考欄で客先休業日またはメモリアル休暇日に該当する場合は、
リストから【</t>
        </r>
        <r>
          <rPr>
            <b/>
            <sz val="9"/>
            <color indexed="81"/>
            <rFont val="MS P ゴシック"/>
            <family val="3"/>
            <charset val="128"/>
          </rPr>
          <t>客先休業</t>
        </r>
        <r>
          <rPr>
            <sz val="9"/>
            <color indexed="81"/>
            <rFont val="MS P ゴシック"/>
            <family val="3"/>
            <charset val="128"/>
          </rPr>
          <t>】または【</t>
        </r>
        <r>
          <rPr>
            <b/>
            <sz val="9"/>
            <color indexed="81"/>
            <rFont val="MS P ゴシック"/>
            <family val="3"/>
            <charset val="128"/>
          </rPr>
          <t>メモリアル休暇</t>
        </r>
        <r>
          <rPr>
            <sz val="9"/>
            <color indexed="81"/>
            <rFont val="MS P ゴシック"/>
            <family val="3"/>
            <charset val="128"/>
          </rPr>
          <t>】を選択してください。
選択した日数は、所定労働日数から自動的に除外されます。
勤怠を正しく反映させるため、顧客先の勤務カレンダーやメモリ休暇の予定を確認のうえ、正確に入力してください。
なお、リストにない事由については、直接その内容をご入力ください。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張寧一</author>
  </authors>
  <commentList>
    <comment ref="O1" authorId="0" shapeId="0" xr:uid="{7F88C8E6-17D2-4B34-A50A-79EA08FF0AA1}">
      <text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1"/>
            <color indexed="81"/>
            <rFont val="MS P ゴシック"/>
            <family val="3"/>
            <charset val="128"/>
          </rPr>
          <t>所属部署を選択してください</t>
        </r>
      </text>
    </comment>
    <comment ref="A4" authorId="0" shapeId="0" xr:uid="{A932F74B-0D89-44AD-9363-4583C3F857DC}">
      <text>
        <r>
          <rPr>
            <sz val="11"/>
            <color indexed="81"/>
            <rFont val="MS P ゴシック"/>
            <family val="3"/>
            <charset val="128"/>
          </rPr>
          <t>月初日をご入力ください。
例：1月の場合は『1/1』または『2026/1/1』とご記入ください。</t>
        </r>
      </text>
    </comment>
    <comment ref="F8" authorId="0" shapeId="0" xr:uid="{176E1E18-1C5D-47E9-8815-CC9F659217A5}">
      <text>
        <r>
          <rPr>
            <b/>
            <sz val="11"/>
            <color indexed="81"/>
            <rFont val="MS P ゴシック"/>
            <family val="3"/>
            <charset val="128"/>
          </rPr>
          <t>休憩時間の説明①</t>
        </r>
        <r>
          <rPr>
            <sz val="11"/>
            <color indexed="81"/>
            <rFont val="MS P ゴシック"/>
            <family val="3"/>
            <charset val="128"/>
          </rPr>
          <t xml:space="preserve">
実労働時間が8時間を超える場合、労働基準法で1時間の休憩を取得する必要があります。
そのため、8時間を超過する場合は自動的に1時間が入ります。</t>
        </r>
      </text>
    </comment>
    <comment ref="M8" authorId="0" shapeId="0" xr:uid="{EF5A61D7-7742-4E45-A598-FDEA9D6C8851}">
      <text>
        <r>
          <rPr>
            <sz val="11"/>
            <color indexed="81"/>
            <rFont val="MS P ゴシック"/>
            <family val="3"/>
            <charset val="128"/>
          </rPr>
          <t>備考欄で客先休業日またはメモリアル休暇日に該当する場合は、
リストから【</t>
        </r>
        <r>
          <rPr>
            <b/>
            <sz val="11"/>
            <color indexed="81"/>
            <rFont val="MS P ゴシック"/>
            <family val="3"/>
            <charset val="128"/>
          </rPr>
          <t>客先休業</t>
        </r>
        <r>
          <rPr>
            <sz val="11"/>
            <color indexed="81"/>
            <rFont val="MS P ゴシック"/>
            <family val="3"/>
            <charset val="128"/>
          </rPr>
          <t>】または【</t>
        </r>
        <r>
          <rPr>
            <b/>
            <sz val="11"/>
            <color indexed="81"/>
            <rFont val="MS P ゴシック"/>
            <family val="3"/>
            <charset val="128"/>
          </rPr>
          <t>メモリアル休暇</t>
        </r>
        <r>
          <rPr>
            <sz val="11"/>
            <color indexed="81"/>
            <rFont val="MS P ゴシック"/>
            <family val="3"/>
            <charset val="128"/>
          </rPr>
          <t>】を選択してください。
選択した日数は、所定労働日数から自動的に除外されます。
勤怠を正しく反映させるため、顧客先の勤務カレンダーやメモリ休暇の予定を確認のうえ、正確に入力してください。
なお、リストにない事由については、直接その内容をご入力ください。</t>
        </r>
      </text>
    </comment>
    <comment ref="F11" authorId="0" shapeId="0" xr:uid="{63E7668C-96F3-453C-81BE-84A0B420D054}">
      <text>
        <r>
          <rPr>
            <b/>
            <sz val="11"/>
            <color indexed="81"/>
            <rFont val="MS P ゴシック"/>
            <family val="3"/>
            <charset val="128"/>
          </rPr>
          <t>休憩時間の説明②</t>
        </r>
        <r>
          <rPr>
            <sz val="11"/>
            <color indexed="81"/>
            <rFont val="MS P ゴシック"/>
            <family val="3"/>
            <charset val="128"/>
          </rPr>
          <t xml:space="preserve">
実労働時間が6時間を超える場合、労働基準法で45分の休憩を取得する必要があります。
そのため、6時間を超過する場合は自動的に45分が入ります。</t>
        </r>
      </text>
    </comment>
    <comment ref="G13" authorId="0" shapeId="0" xr:uid="{ADACF89F-D46C-4697-9145-432C7BCC291E}">
      <text>
        <r>
          <rPr>
            <b/>
            <sz val="11"/>
            <color indexed="81"/>
            <rFont val="MS P ゴシック"/>
            <family val="3"/>
            <charset val="128"/>
          </rPr>
          <t>休憩時間調整</t>
        </r>
        <r>
          <rPr>
            <sz val="11"/>
            <color indexed="81"/>
            <rFont val="MS P ゴシック"/>
            <family val="3"/>
            <charset val="128"/>
          </rPr>
          <t xml:space="preserve">
固定の休憩時間以外で取得した時間を記載する。
例)夕食など</t>
        </r>
      </text>
    </comment>
    <comment ref="H20" authorId="0" shapeId="0" xr:uid="{F77996ED-4AAE-4C34-B92C-0BFD870DE49C}">
      <text>
        <r>
          <rPr>
            <b/>
            <sz val="11"/>
            <color indexed="81"/>
            <rFont val="MS P ゴシック"/>
            <family val="3"/>
            <charset val="128"/>
          </rPr>
          <t>有給休暇</t>
        </r>
        <r>
          <rPr>
            <sz val="11"/>
            <color indexed="81"/>
            <rFont val="MS P ゴシック"/>
            <family val="3"/>
            <charset val="128"/>
          </rPr>
          <t xml:space="preserve">
有給休暇は時間単位で請求可能です。
勤務表には、取得した有給休暇の時間数のみを記入してください。
また、オフィスステーション上の有給休暇データと整合性を保つため、
必ずオフィスステーションにて併せて申請を行ってください。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<sst xmlns="http://schemas.openxmlformats.org/spreadsheetml/2006/main" count="141" uniqueCount="68">
  <si>
    <t>勤務兼作業報告書</t>
    <rPh sb="0" eb="2">
      <t>キンム</t>
    </rPh>
    <rPh sb="2" eb="3">
      <t>ケン</t>
    </rPh>
    <rPh sb="3" eb="5">
      <t>サギョウ</t>
    </rPh>
    <rPh sb="5" eb="8">
      <t>ホウコクショ</t>
    </rPh>
    <phoneticPr fontId="3"/>
  </si>
  <si>
    <t>所属</t>
  </si>
  <si>
    <t>氏名</t>
  </si>
  <si>
    <t>日付</t>
    <rPh sb="0" eb="2">
      <t>ヒヅケ</t>
    </rPh>
    <phoneticPr fontId="3"/>
  </si>
  <si>
    <t>曜日</t>
    <rPh sb="0" eb="2">
      <t>ヨウビ</t>
    </rPh>
    <phoneticPr fontId="3"/>
  </si>
  <si>
    <t>始業　　　時刻</t>
    <phoneticPr fontId="3"/>
  </si>
  <si>
    <t>終業　　時刻</t>
    <phoneticPr fontId="3"/>
  </si>
  <si>
    <t>実働</t>
    <rPh sb="0" eb="2">
      <t>ジツドウ</t>
    </rPh>
    <phoneticPr fontId="3"/>
  </si>
  <si>
    <t>在宅</t>
    <phoneticPr fontId="5"/>
  </si>
  <si>
    <t>月 合 計</t>
    <phoneticPr fontId="5"/>
  </si>
  <si>
    <t>【記入上の留意点】</t>
    <rPh sb="1" eb="3">
      <t>キニュウ</t>
    </rPh>
    <rPh sb="3" eb="4">
      <t>ジョウ</t>
    </rPh>
    <rPh sb="5" eb="8">
      <t>リュウイテン</t>
    </rPh>
    <phoneticPr fontId="3"/>
  </si>
  <si>
    <t>在宅</t>
  </si>
  <si>
    <t>現場</t>
    <phoneticPr fontId="5"/>
  </si>
  <si>
    <t>備考欄</t>
    <phoneticPr fontId="2"/>
  </si>
  <si>
    <t>休憩　 時間</t>
    <rPh sb="4" eb="6">
      <t>ジカン</t>
    </rPh>
    <phoneticPr fontId="5"/>
  </si>
  <si>
    <t>在宅勤務日数</t>
    <rPh sb="0" eb="2">
      <t>ザイタク</t>
    </rPh>
    <rPh sb="2" eb="4">
      <t>キンム</t>
    </rPh>
    <phoneticPr fontId="5"/>
  </si>
  <si>
    <t>小計</t>
    <rPh sb="0" eb="2">
      <t>ショウケイ</t>
    </rPh>
    <phoneticPr fontId="2"/>
  </si>
  <si>
    <t>（2）例”8:55”の場合、時間と分の間に”：”を入れること</t>
    <phoneticPr fontId="3"/>
  </si>
  <si>
    <t>（１）時間は分単位で記入すること</t>
    <rPh sb="3" eb="5">
      <t>ジカン</t>
    </rPh>
    <rPh sb="6" eb="7">
      <t>フン</t>
    </rPh>
    <rPh sb="7" eb="9">
      <t>タンイ</t>
    </rPh>
    <rPh sb="10" eb="12">
      <t>キニュウ</t>
    </rPh>
    <phoneticPr fontId="3"/>
  </si>
  <si>
    <t>基準外時間</t>
    <rPh sb="0" eb="2">
      <t>キジュン</t>
    </rPh>
    <rPh sb="2" eb="3">
      <t>ガイ</t>
    </rPh>
    <rPh sb="3" eb="5">
      <t>ジカン</t>
    </rPh>
    <phoneticPr fontId="2"/>
  </si>
  <si>
    <t>基準外時間</t>
    <rPh sb="0" eb="5">
      <t>キジュンガイジカン</t>
    </rPh>
    <phoneticPr fontId="2"/>
  </si>
  <si>
    <t>システム開発１部</t>
  </si>
  <si>
    <t>システム開発２部</t>
  </si>
  <si>
    <t>システム開発３部</t>
  </si>
  <si>
    <t>マイグレーション部</t>
  </si>
  <si>
    <t>研究開発部</t>
  </si>
  <si>
    <t>営業部</t>
  </si>
  <si>
    <t>管理部</t>
  </si>
  <si>
    <t>度勤怠</t>
    <rPh sb="0" eb="1">
      <t>ド</t>
    </rPh>
    <rPh sb="1" eb="3">
      <t>キンタイ</t>
    </rPh>
    <phoneticPr fontId="3"/>
  </si>
  <si>
    <t>実働時間</t>
    <phoneticPr fontId="5"/>
  </si>
  <si>
    <t>元日</t>
    <rPh sb="0" eb="2">
      <t>ガンジツ</t>
    </rPh>
    <phoneticPr fontId="5"/>
  </si>
  <si>
    <t>指定休日</t>
    <rPh sb="0" eb="2">
      <t>シテイ</t>
    </rPh>
    <rPh sb="2" eb="4">
      <t>キュウジツ</t>
    </rPh>
    <phoneticPr fontId="5"/>
  </si>
  <si>
    <t>成人の日</t>
    <rPh sb="0" eb="2">
      <t>セイジン</t>
    </rPh>
    <rPh sb="3" eb="4">
      <t>ヒ</t>
    </rPh>
    <phoneticPr fontId="5"/>
  </si>
  <si>
    <t>建国記念の日</t>
    <rPh sb="0" eb="2">
      <t>ケンコク</t>
    </rPh>
    <rPh sb="2" eb="4">
      <t>キネン</t>
    </rPh>
    <rPh sb="5" eb="6">
      <t>ヒ</t>
    </rPh>
    <phoneticPr fontId="5"/>
  </si>
  <si>
    <t>天皇誕生日</t>
    <rPh sb="0" eb="2">
      <t>テンノウ</t>
    </rPh>
    <rPh sb="2" eb="5">
      <t>タンジョウビ</t>
    </rPh>
    <phoneticPr fontId="5"/>
  </si>
  <si>
    <t>春分の日</t>
    <rPh sb="0" eb="2">
      <t>シュンブン</t>
    </rPh>
    <rPh sb="3" eb="4">
      <t>ヒ</t>
    </rPh>
    <phoneticPr fontId="5"/>
  </si>
  <si>
    <t>昭和の日</t>
    <rPh sb="0" eb="2">
      <t>ショウワ</t>
    </rPh>
    <rPh sb="3" eb="4">
      <t>ヒ</t>
    </rPh>
    <phoneticPr fontId="5"/>
  </si>
  <si>
    <t>憲法記念日</t>
    <rPh sb="0" eb="2">
      <t>ケンポウ</t>
    </rPh>
    <rPh sb="2" eb="5">
      <t>キネンビ</t>
    </rPh>
    <phoneticPr fontId="5"/>
  </si>
  <si>
    <t>みどりの日</t>
    <rPh sb="4" eb="5">
      <t>ヒ</t>
    </rPh>
    <phoneticPr fontId="5"/>
  </si>
  <si>
    <t>こどもの日</t>
    <rPh sb="4" eb="5">
      <t>ヒ</t>
    </rPh>
    <phoneticPr fontId="5"/>
  </si>
  <si>
    <t>振替休日</t>
    <rPh sb="0" eb="2">
      <t>フリカエ</t>
    </rPh>
    <rPh sb="2" eb="4">
      <t>キュウジツ</t>
    </rPh>
    <phoneticPr fontId="5"/>
  </si>
  <si>
    <t>海の日</t>
    <rPh sb="0" eb="1">
      <t>ウミ</t>
    </rPh>
    <rPh sb="2" eb="3">
      <t>ヒ</t>
    </rPh>
    <phoneticPr fontId="5"/>
  </si>
  <si>
    <t>山の日</t>
    <rPh sb="0" eb="1">
      <t>ヤマ</t>
    </rPh>
    <rPh sb="2" eb="3">
      <t>ヒ</t>
    </rPh>
    <phoneticPr fontId="5"/>
  </si>
  <si>
    <t>敬老の日</t>
    <rPh sb="0" eb="2">
      <t>ケイロウ</t>
    </rPh>
    <rPh sb="3" eb="4">
      <t>ヒ</t>
    </rPh>
    <phoneticPr fontId="5"/>
  </si>
  <si>
    <t>秋分の日</t>
    <rPh sb="0" eb="2">
      <t>シュウブン</t>
    </rPh>
    <rPh sb="3" eb="4">
      <t>ヒ</t>
    </rPh>
    <phoneticPr fontId="5"/>
  </si>
  <si>
    <t>スポーツの日</t>
    <rPh sb="5" eb="6">
      <t>ヒ</t>
    </rPh>
    <phoneticPr fontId="5"/>
  </si>
  <si>
    <t>文化の日</t>
    <rPh sb="0" eb="2">
      <t>ブンカ</t>
    </rPh>
    <rPh sb="3" eb="4">
      <t>ヒ</t>
    </rPh>
    <phoneticPr fontId="5"/>
  </si>
  <si>
    <t>勤労感謝の日</t>
    <rPh sb="0" eb="2">
      <t>キンロウ</t>
    </rPh>
    <rPh sb="2" eb="4">
      <t>カンシャ</t>
    </rPh>
    <rPh sb="5" eb="6">
      <t>ヒ</t>
    </rPh>
    <phoneticPr fontId="5"/>
  </si>
  <si>
    <t>実働日数</t>
    <rPh sb="0" eb="2">
      <t>ジツドウ</t>
    </rPh>
    <rPh sb="2" eb="4">
      <t>ニッスウ</t>
    </rPh>
    <phoneticPr fontId="2"/>
  </si>
  <si>
    <t>所定労働日数</t>
    <rPh sb="0" eb="6">
      <t>ショテイロウドウニッスウ</t>
    </rPh>
    <phoneticPr fontId="2"/>
  </si>
  <si>
    <t>所定労働時間</t>
    <rPh sb="0" eb="6">
      <t>ショテイロウドウジカン</t>
    </rPh>
    <phoneticPr fontId="2"/>
  </si>
  <si>
    <t>有休  休暇</t>
    <rPh sb="0" eb="2">
      <t>ユウキュウ</t>
    </rPh>
    <rPh sb="4" eb="6">
      <t>キュウカ</t>
    </rPh>
    <phoneticPr fontId="5"/>
  </si>
  <si>
    <t>実働  時間</t>
    <rPh sb="0" eb="2">
      <t>ジツドウ</t>
    </rPh>
    <rPh sb="4" eb="6">
      <t>ジカン</t>
    </rPh>
    <phoneticPr fontId="3"/>
  </si>
  <si>
    <t>有給休暇</t>
    <phoneticPr fontId="2"/>
  </si>
  <si>
    <t>所定内不足時間</t>
    <phoneticPr fontId="5"/>
  </si>
  <si>
    <t>休憩　　時間  調整</t>
    <rPh sb="8" eb="10">
      <t>チョウセイ</t>
    </rPh>
    <phoneticPr fontId="5"/>
  </si>
  <si>
    <t>調整後不足時間</t>
    <rPh sb="0" eb="3">
      <t>チョウセイゴ</t>
    </rPh>
    <rPh sb="3" eb="7">
      <t>フソクジカン</t>
    </rPh>
    <phoneticPr fontId="2"/>
  </si>
  <si>
    <t>基準外精算時間</t>
    <rPh sb="0" eb="7">
      <t>キジュンガイセイサンジカン</t>
    </rPh>
    <phoneticPr fontId="2"/>
  </si>
  <si>
    <t>基準外精算時間</t>
    <rPh sb="0" eb="2">
      <t>キジュン</t>
    </rPh>
    <rPh sb="2" eb="3">
      <t>ガイ</t>
    </rPh>
    <rPh sb="3" eb="5">
      <t>セイサン</t>
    </rPh>
    <rPh sb="5" eb="7">
      <t>ジカン</t>
    </rPh>
    <phoneticPr fontId="2"/>
  </si>
  <si>
    <t>勤務兼作業報告書（記入例）</t>
    <rPh sb="0" eb="2">
      <t>キンム</t>
    </rPh>
    <rPh sb="2" eb="3">
      <t>ケン</t>
    </rPh>
    <rPh sb="3" eb="5">
      <t>サギョウ</t>
    </rPh>
    <rPh sb="5" eb="8">
      <t>ホウコクショ</t>
    </rPh>
    <rPh sb="9" eb="12">
      <t>キニュウレイ</t>
    </rPh>
    <phoneticPr fontId="3"/>
  </si>
  <si>
    <t>現場</t>
  </si>
  <si>
    <t>現場</t>
    <phoneticPr fontId="2"/>
  </si>
  <si>
    <t>客先休業</t>
    <rPh sb="0" eb="4">
      <t>キャクサキキュウギョウ</t>
    </rPh>
    <phoneticPr fontId="2"/>
  </si>
  <si>
    <t>メモリアル休暇</t>
    <rPh sb="5" eb="7">
      <t>キュウカ</t>
    </rPh>
    <phoneticPr fontId="2"/>
  </si>
  <si>
    <t>私用</t>
    <rPh sb="0" eb="2">
      <t>シヨウ</t>
    </rPh>
    <phoneticPr fontId="2"/>
  </si>
  <si>
    <t>病院</t>
    <rPh sb="0" eb="2">
      <t>ビョウイン</t>
    </rPh>
    <phoneticPr fontId="2"/>
  </si>
  <si>
    <t>佐々木翔平</t>
    <rPh sb="0" eb="5">
      <t>ササキショウヘイ</t>
    </rPh>
    <phoneticPr fontId="2"/>
  </si>
  <si>
    <t>電車の遅延で遅刻</t>
    <rPh sb="0" eb="2">
      <t>デンシャ</t>
    </rPh>
    <rPh sb="3" eb="5">
      <t>チエン</t>
    </rPh>
    <rPh sb="6" eb="8">
      <t>チコク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</si>
</sst>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#,##0.0;[Red]\-#,##0.0"/>
    <numFmt numFmtId="177" formatCode="0_ "/>
    <numFmt numFmtId="178" formatCode="#,##0.0_ ;[Red]\-#,##0.0\ "/>
    <numFmt numFmtId="179" formatCode="0&quot;日&quot;"/>
    <numFmt numFmtId="180" formatCode="0.0&quot;時間&quot;"/>
    <numFmt numFmtId="181" formatCode="0.0&quot;日&quot;"/>
    <numFmt numFmtId="182" formatCode="0.00_);[Red]\(0.00\)"/>
    <numFmt numFmtId="183" formatCode="0.0&quot;ｈ&quot;"/>
    <numFmt numFmtId="184" formatCode="[h]:mm"/>
    <numFmt numFmtId="185" formatCode="0.00&quot;ｈ&quot;"/>
    <numFmt numFmtId="186" formatCode="[$-411]#,##0;[Red]\-#,##0"/>
    <numFmt numFmtId="187" formatCode="yyyy&quot;年&quot;m&quot;月&quot;;@"/>
    <numFmt numFmtId="188" formatCode="d"/>
    <numFmt numFmtId="189" formatCode="aaa"/>
    <numFmt numFmtId="190" formatCode="0.00&quot;h&quot;"/>
  </numFmts>
  <fonts count="26">
    <font>
      <sz val="11"/>
      <color theme="1"/>
      <name val="游ゴシック"/>
      <family val="2"/>
      <charset val="128"/>
      <scheme val="minor"/>
    </font>
    <font>
      <sz val="1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6"/>
      <name val="ＭＳ 明朝"/>
      <family val="1"/>
      <charset val="128"/>
    </font>
    <font>
      <b/>
      <sz val="16"/>
      <name val="ＭＳ 明朝"/>
      <family val="1"/>
      <charset val="128"/>
    </font>
    <font>
      <b/>
      <sz val="11"/>
      <name val="ＭＳ 明朝"/>
      <family val="1"/>
      <charset val="128"/>
    </font>
    <font>
      <sz val="11"/>
      <color theme="0"/>
      <name val="ＭＳ 明朝"/>
      <family val="1"/>
      <charset val="128"/>
    </font>
    <font>
      <b/>
      <sz val="12"/>
      <color indexed="12"/>
      <name val="ＭＳ 明朝"/>
      <family val="1"/>
      <charset val="128"/>
    </font>
    <font>
      <sz val="10.5"/>
      <name val="ＭＳ 明朝"/>
      <family val="1"/>
      <charset val="128"/>
    </font>
    <font>
      <sz val="10"/>
      <name val="ＭＳ 明朝"/>
      <family val="1"/>
      <charset val="128"/>
    </font>
    <font>
      <sz val="12"/>
      <color theme="0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1"/>
      <color indexed="81"/>
      <name val="MS P ゴシック"/>
      <family val="3"/>
      <charset val="128"/>
    </font>
    <font>
      <b/>
      <sz val="11"/>
      <color indexed="81"/>
      <name val="MS P ゴシック"/>
      <family val="3"/>
      <charset val="128"/>
    </font>
    <font>
      <sz val="11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38" fontId="1" fillId="0" borderId="0" applyFont="0" applyFill="0" applyBorder="0" applyAlignment="0" applyProtection="0"/>
    <xf numFmtId="0" fontId="1" fillId="0" borderId="0"/>
    <xf numFmtId="0" fontId="4" fillId="0" borderId="0"/>
    <xf numFmtId="0" fontId="9" fillId="0" borderId="0">
      <alignment vertical="center"/>
    </xf>
    <xf numFmtId="0" fontId="10" fillId="0" borderId="0">
      <alignment vertical="center"/>
    </xf>
    <xf numFmtId="186" fontId="10" fillId="0" borderId="0" applyBorder="0" applyProtection="0">
      <alignment vertical="center"/>
    </xf>
    <xf numFmtId="38" fontId="10" fillId="0" borderId="0" applyBorder="0" applyProtection="0">
      <alignment vertical="center"/>
    </xf>
    <xf numFmtId="0" fontId="11" fillId="0" borderId="0">
      <alignment vertical="center"/>
    </xf>
  </cellStyleXfs>
  <cellXfs count="116">
    <xf numFmtId="0" fontId="0" fillId="0" borderId="0" xfId="0">
      <alignment vertical="center"/>
    </xf>
    <xf numFmtId="49" fontId="13" fillId="0" borderId="0" xfId="2" applyNumberFormat="1" applyFont="1" applyAlignment="1" applyProtection="1">
      <alignment vertical="center"/>
      <protection hidden="1"/>
    </xf>
    <xf numFmtId="49" fontId="14" fillId="0" borderId="0" xfId="2" applyNumberFormat="1" applyFont="1" applyAlignment="1" applyProtection="1">
      <alignment vertical="center"/>
      <protection locked="0"/>
    </xf>
    <xf numFmtId="49" fontId="15" fillId="0" borderId="0" xfId="2" applyNumberFormat="1" applyFont="1" applyAlignment="1" applyProtection="1">
      <alignment vertical="center"/>
      <protection locked="0"/>
    </xf>
    <xf numFmtId="20" fontId="15" fillId="0" borderId="0" xfId="3" applyNumberFormat="1" applyFont="1" applyAlignment="1" applyProtection="1">
      <alignment horizontal="center" vertical="center"/>
      <protection hidden="1"/>
    </xf>
    <xf numFmtId="20" fontId="12" fillId="0" borderId="1" xfId="3" applyNumberFormat="1" applyFont="1" applyBorder="1" applyAlignment="1" applyProtection="1">
      <alignment horizontal="center" vertical="center"/>
      <protection hidden="1"/>
    </xf>
    <xf numFmtId="0" fontId="12" fillId="0" borderId="0" xfId="2" applyFont="1" applyProtection="1">
      <protection locked="0"/>
    </xf>
    <xf numFmtId="0" fontId="16" fillId="0" borderId="0" xfId="2" applyFont="1" applyProtection="1">
      <protection locked="0"/>
    </xf>
    <xf numFmtId="177" fontId="12" fillId="0" borderId="0" xfId="2" applyNumberFormat="1" applyFont="1" applyAlignment="1" applyProtection="1">
      <alignment horizontal="right" vertical="center"/>
      <protection locked="0"/>
    </xf>
    <xf numFmtId="0" fontId="12" fillId="0" borderId="0" xfId="2" applyFont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center"/>
      <protection locked="0"/>
    </xf>
    <xf numFmtId="20" fontId="12" fillId="0" borderId="0" xfId="2" applyNumberFormat="1" applyFont="1" applyProtection="1">
      <protection locked="0"/>
    </xf>
    <xf numFmtId="176" fontId="12" fillId="0" borderId="0" xfId="1" applyNumberFormat="1" applyFont="1" applyProtection="1">
      <protection locked="0"/>
    </xf>
    <xf numFmtId="176" fontId="15" fillId="0" borderId="0" xfId="1" applyNumberFormat="1" applyFont="1" applyProtection="1">
      <protection locked="0"/>
    </xf>
    <xf numFmtId="0" fontId="12" fillId="0" borderId="0" xfId="2" applyFont="1" applyAlignment="1" applyProtection="1">
      <alignment horizontal="left" vertical="center" shrinkToFit="1"/>
      <protection hidden="1"/>
    </xf>
    <xf numFmtId="0" fontId="12" fillId="0" borderId="0" xfId="2" applyFont="1" applyAlignment="1" applyProtection="1">
      <alignment horizontal="left" vertical="center"/>
      <protection hidden="1"/>
    </xf>
    <xf numFmtId="0" fontId="12" fillId="0" borderId="0" xfId="2" applyFont="1" applyAlignment="1" applyProtection="1">
      <alignment horizontal="left" vertical="center"/>
      <protection locked="0"/>
    </xf>
    <xf numFmtId="176" fontId="15" fillId="0" borderId="0" xfId="1" applyNumberFormat="1" applyFont="1" applyBorder="1" applyAlignment="1" applyProtection="1">
      <alignment vertical="center"/>
      <protection locked="0"/>
    </xf>
    <xf numFmtId="49" fontId="12" fillId="0" borderId="0" xfId="2" applyNumberFormat="1" applyFont="1" applyAlignment="1" applyProtection="1">
      <alignment horizontal="left" vertical="center"/>
      <protection locked="0"/>
    </xf>
    <xf numFmtId="176" fontId="18" fillId="0" borderId="6" xfId="1" applyNumberFormat="1" applyFont="1" applyBorder="1" applyAlignment="1" applyProtection="1">
      <alignment horizontal="center" vertical="center"/>
      <protection hidden="1"/>
    </xf>
    <xf numFmtId="176" fontId="18" fillId="0" borderId="5" xfId="1" applyNumberFormat="1" applyFont="1" applyBorder="1" applyAlignment="1" applyProtection="1">
      <alignment horizontal="center" vertical="center"/>
      <protection hidden="1"/>
    </xf>
    <xf numFmtId="188" fontId="12" fillId="0" borderId="1" xfId="2" applyNumberFormat="1" applyFont="1" applyBorder="1" applyAlignment="1" applyProtection="1">
      <alignment horizontal="center" vertical="center"/>
      <protection hidden="1"/>
    </xf>
    <xf numFmtId="189" fontId="12" fillId="0" borderId="1" xfId="2" applyNumberFormat="1" applyFont="1" applyBorder="1" applyAlignment="1" applyProtection="1">
      <alignment horizontal="center" vertical="center"/>
      <protection hidden="1"/>
    </xf>
    <xf numFmtId="0" fontId="12" fillId="0" borderId="0" xfId="3" applyFont="1" applyAlignment="1" applyProtection="1">
      <alignment vertical="center"/>
      <protection locked="0"/>
    </xf>
    <xf numFmtId="20" fontId="12" fillId="0" borderId="0" xfId="3" applyNumberFormat="1" applyFont="1" applyAlignment="1" applyProtection="1">
      <alignment vertical="center"/>
      <protection locked="0"/>
    </xf>
    <xf numFmtId="184" fontId="16" fillId="0" borderId="0" xfId="3" applyNumberFormat="1" applyFont="1" applyAlignment="1" applyProtection="1">
      <alignment vertical="center"/>
      <protection hidden="1"/>
    </xf>
    <xf numFmtId="0" fontId="12" fillId="0" borderId="0" xfId="3" applyFont="1" applyAlignment="1" applyProtection="1">
      <alignment horizontal="center" vertical="center"/>
      <protection locked="0"/>
    </xf>
    <xf numFmtId="56" fontId="12" fillId="0" borderId="0" xfId="3" applyNumberFormat="1" applyFont="1" applyAlignment="1" applyProtection="1">
      <alignment vertical="center"/>
      <protection locked="0"/>
    </xf>
    <xf numFmtId="179" fontId="19" fillId="0" borderId="1" xfId="3" applyNumberFormat="1" applyFont="1" applyBorder="1" applyAlignment="1" applyProtection="1">
      <alignment horizontal="center" vertical="center" shrinkToFit="1"/>
      <protection hidden="1"/>
    </xf>
    <xf numFmtId="185" fontId="21" fillId="0" borderId="1" xfId="3" applyNumberFormat="1" applyFont="1" applyBorder="1" applyAlignment="1" applyProtection="1">
      <alignment horizontal="left" vertical="center" shrinkToFit="1"/>
      <protection hidden="1"/>
    </xf>
    <xf numFmtId="185" fontId="19" fillId="0" borderId="1" xfId="3" applyNumberFormat="1" applyFont="1" applyBorder="1" applyAlignment="1" applyProtection="1">
      <alignment horizontal="left" vertical="center" shrinkToFit="1"/>
      <protection hidden="1"/>
    </xf>
    <xf numFmtId="181" fontId="19" fillId="0" borderId="1" xfId="3" applyNumberFormat="1" applyFont="1" applyBorder="1" applyAlignment="1" applyProtection="1">
      <alignment horizontal="left" vertical="center" shrinkToFit="1"/>
      <protection hidden="1"/>
    </xf>
    <xf numFmtId="183" fontId="21" fillId="0" borderId="1" xfId="3" applyNumberFormat="1" applyFont="1" applyBorder="1" applyAlignment="1" applyProtection="1">
      <alignment horizontal="left" vertical="center" shrinkToFit="1"/>
      <protection hidden="1"/>
    </xf>
    <xf numFmtId="0" fontId="16" fillId="0" borderId="0" xfId="2" applyFont="1" applyProtection="1">
      <protection hidden="1"/>
    </xf>
    <xf numFmtId="0" fontId="12" fillId="0" borderId="0" xfId="2" applyFont="1" applyProtection="1">
      <protection hidden="1"/>
    </xf>
    <xf numFmtId="49" fontId="12" fillId="0" borderId="0" xfId="2" applyNumberFormat="1" applyFont="1" applyAlignment="1" applyProtection="1">
      <alignment horizontal="center" vertical="center"/>
      <protection locked="0"/>
    </xf>
    <xf numFmtId="188" fontId="12" fillId="0" borderId="1" xfId="8" applyNumberFormat="1" applyFont="1" applyBorder="1" applyAlignment="1" applyProtection="1">
      <alignment horizontal="center" vertical="center"/>
      <protection hidden="1"/>
    </xf>
    <xf numFmtId="190" fontId="21" fillId="0" borderId="1" xfId="3" applyNumberFormat="1" applyFont="1" applyBorder="1" applyAlignment="1" applyProtection="1">
      <alignment horizontal="left" vertical="center" shrinkToFit="1"/>
      <protection hidden="1"/>
    </xf>
    <xf numFmtId="190" fontId="19" fillId="0" borderId="1" xfId="3" applyNumberFormat="1" applyFont="1" applyBorder="1" applyAlignment="1" applyProtection="1">
      <alignment horizontal="left" vertical="center" shrinkToFit="1"/>
      <protection hidden="1"/>
    </xf>
    <xf numFmtId="0" fontId="12" fillId="0" borderId="0" xfId="3" applyFont="1" applyAlignment="1" applyProtection="1">
      <alignment vertical="center"/>
      <protection hidden="1"/>
    </xf>
    <xf numFmtId="2" fontId="12" fillId="0" borderId="0" xfId="3" applyNumberFormat="1" applyFont="1" applyAlignment="1" applyProtection="1">
      <alignment vertical="center"/>
      <protection hidden="1"/>
    </xf>
    <xf numFmtId="20" fontId="16" fillId="0" borderId="0" xfId="2" applyNumberFormat="1" applyFont="1" applyProtection="1">
      <protection hidden="1"/>
    </xf>
    <xf numFmtId="176" fontId="16" fillId="0" borderId="0" xfId="1" applyNumberFormat="1" applyFont="1" applyProtection="1">
      <protection hidden="1"/>
    </xf>
    <xf numFmtId="49" fontId="6" fillId="0" borderId="0" xfId="2" applyNumberFormat="1" applyFont="1" applyAlignment="1">
      <alignment horizontal="left" vertical="center"/>
    </xf>
    <xf numFmtId="20" fontId="18" fillId="2" borderId="1" xfId="2" applyNumberFormat="1" applyFont="1" applyFill="1" applyBorder="1" applyAlignment="1" applyProtection="1">
      <alignment horizontal="center" vertical="center" shrinkToFit="1"/>
      <protection locked="0"/>
    </xf>
    <xf numFmtId="20" fontId="18" fillId="2" borderId="1" xfId="2" applyNumberFormat="1" applyFont="1" applyFill="1" applyBorder="1" applyAlignment="1" applyProtection="1">
      <alignment horizontal="center" vertical="center"/>
      <protection locked="0"/>
    </xf>
    <xf numFmtId="20" fontId="18" fillId="0" borderId="1" xfId="2" applyNumberFormat="1" applyFont="1" applyBorder="1" applyAlignment="1" applyProtection="1">
      <alignment horizontal="center" vertical="center" shrinkToFit="1"/>
      <protection hidden="1"/>
    </xf>
    <xf numFmtId="20" fontId="18" fillId="2" borderId="1" xfId="2" applyNumberFormat="1" applyFont="1" applyFill="1" applyBorder="1" applyAlignment="1" applyProtection="1">
      <alignment vertical="center" shrinkToFit="1"/>
      <protection locked="0"/>
    </xf>
    <xf numFmtId="20" fontId="18" fillId="0" borderId="1" xfId="2" applyNumberFormat="1" applyFont="1" applyBorder="1" applyAlignment="1" applyProtection="1">
      <alignment vertical="center" shrinkToFit="1"/>
      <protection hidden="1"/>
    </xf>
    <xf numFmtId="182" fontId="18" fillId="0" borderId="1" xfId="1" applyNumberFormat="1" applyFont="1" applyBorder="1" applyAlignment="1" applyProtection="1">
      <alignment vertical="center" shrinkToFit="1"/>
      <protection hidden="1"/>
    </xf>
    <xf numFmtId="178" fontId="18" fillId="2" borderId="5" xfId="1" applyNumberFormat="1" applyFont="1" applyFill="1" applyBorder="1" applyAlignment="1" applyProtection="1">
      <alignment horizontal="center" vertical="center" shrinkToFit="1"/>
      <protection locked="0"/>
    </xf>
    <xf numFmtId="178" fontId="18" fillId="2" borderId="1" xfId="1" applyNumberFormat="1" applyFont="1" applyFill="1" applyBorder="1" applyAlignment="1" applyProtection="1">
      <alignment horizontal="center" vertical="center" shrinkToFit="1"/>
      <protection locked="0"/>
    </xf>
    <xf numFmtId="14" fontId="20" fillId="0" borderId="0" xfId="8" applyNumberFormat="1" applyFont="1" applyProtection="1">
      <alignment vertical="center"/>
      <protection hidden="1"/>
    </xf>
    <xf numFmtId="0" fontId="20" fillId="0" borderId="0" xfId="8" applyFont="1" applyProtection="1">
      <alignment vertical="center"/>
      <protection hidden="1"/>
    </xf>
    <xf numFmtId="0" fontId="16" fillId="0" borderId="0" xfId="3" applyFont="1" applyAlignment="1" applyProtection="1">
      <alignment vertical="center"/>
      <protection hidden="1"/>
    </xf>
    <xf numFmtId="183" fontId="16" fillId="0" borderId="0" xfId="3" applyNumberFormat="1" applyFont="1" applyAlignment="1" applyProtection="1">
      <alignment vertical="center"/>
      <protection hidden="1"/>
    </xf>
    <xf numFmtId="0" fontId="16" fillId="3" borderId="0" xfId="2" applyFont="1" applyFill="1" applyProtection="1">
      <protection hidden="1"/>
    </xf>
    <xf numFmtId="14" fontId="20" fillId="3" borderId="0" xfId="8" applyNumberFormat="1" applyFont="1" applyFill="1" applyProtection="1">
      <alignment vertical="center"/>
      <protection hidden="1"/>
    </xf>
    <xf numFmtId="0" fontId="20" fillId="3" borderId="0" xfId="8" applyFont="1" applyFill="1" applyProtection="1">
      <alignment vertical="center"/>
      <protection hidden="1"/>
    </xf>
    <xf numFmtId="0" fontId="16" fillId="3" borderId="0" xfId="2" applyFont="1" applyFill="1" applyProtection="1">
      <protection locked="0"/>
    </xf>
    <xf numFmtId="0" fontId="24" fillId="3" borderId="0" xfId="2" applyFont="1" applyFill="1" applyProtection="1">
      <protection hidden="1"/>
    </xf>
    <xf numFmtId="0" fontId="24" fillId="3" borderId="0" xfId="3" applyFont="1" applyFill="1" applyAlignment="1" applyProtection="1">
      <alignment vertical="center"/>
      <protection hidden="1"/>
    </xf>
    <xf numFmtId="2" fontId="24" fillId="3" borderId="0" xfId="3" applyNumberFormat="1" applyFont="1" applyFill="1" applyAlignment="1" applyProtection="1">
      <alignment vertical="center"/>
      <protection hidden="1"/>
    </xf>
    <xf numFmtId="0" fontId="24" fillId="3" borderId="0" xfId="2" applyFont="1" applyFill="1" applyProtection="1">
      <protection locked="0"/>
    </xf>
    <xf numFmtId="0" fontId="24" fillId="0" borderId="0" xfId="2" applyFont="1" applyProtection="1">
      <protection hidden="1"/>
    </xf>
    <xf numFmtId="0" fontId="24" fillId="0" borderId="0" xfId="3" applyFont="1" applyAlignment="1" applyProtection="1">
      <alignment vertical="center"/>
      <protection hidden="1"/>
    </xf>
    <xf numFmtId="0" fontId="24" fillId="0" borderId="0" xfId="2" applyFont="1" applyProtection="1">
      <protection locked="0"/>
    </xf>
    <xf numFmtId="0" fontId="16" fillId="3" borderId="0" xfId="3" applyFont="1" applyFill="1" applyAlignment="1" applyProtection="1">
      <alignment vertical="center"/>
      <protection hidden="1"/>
    </xf>
    <xf numFmtId="183" fontId="16" fillId="3" borderId="0" xfId="3" applyNumberFormat="1" applyFont="1" applyFill="1" applyAlignment="1" applyProtection="1">
      <alignment vertical="center"/>
      <protection hidden="1"/>
    </xf>
    <xf numFmtId="14" fontId="25" fillId="3" borderId="0" xfId="8" applyNumberFormat="1" applyFont="1" applyFill="1" applyProtection="1">
      <alignment vertical="center"/>
      <protection hidden="1"/>
    </xf>
    <xf numFmtId="183" fontId="24" fillId="3" borderId="0" xfId="3" applyNumberFormat="1" applyFont="1" applyFill="1" applyAlignment="1" applyProtection="1">
      <alignment vertical="center"/>
      <protection hidden="1"/>
    </xf>
    <xf numFmtId="14" fontId="24" fillId="3" borderId="0" xfId="2" applyNumberFormat="1" applyFont="1" applyFill="1" applyProtection="1">
      <protection hidden="1"/>
    </xf>
    <xf numFmtId="49" fontId="18" fillId="2" borderId="1" xfId="2" applyNumberFormat="1" applyFont="1" applyFill="1" applyBorder="1" applyAlignment="1" applyProtection="1">
      <alignment horizontal="left" vertical="center" shrinkToFit="1"/>
      <protection locked="0"/>
    </xf>
    <xf numFmtId="0" fontId="18" fillId="0" borderId="1" xfId="3" applyFont="1" applyBorder="1" applyAlignment="1" applyProtection="1">
      <alignment horizontal="center" vertical="center" wrapText="1" shrinkToFit="1"/>
      <protection hidden="1"/>
    </xf>
    <xf numFmtId="0" fontId="18" fillId="0" borderId="1" xfId="3" applyFont="1" applyBorder="1" applyAlignment="1" applyProtection="1">
      <alignment horizontal="center" vertical="center" wrapText="1"/>
      <protection hidden="1"/>
    </xf>
    <xf numFmtId="0" fontId="19" fillId="0" borderId="1" xfId="3" applyFont="1" applyBorder="1" applyAlignment="1" applyProtection="1">
      <alignment horizontal="center" vertical="center" wrapText="1"/>
      <protection hidden="1"/>
    </xf>
    <xf numFmtId="49" fontId="12" fillId="2" borderId="4" xfId="3" applyNumberFormat="1" applyFont="1" applyFill="1" applyBorder="1" applyAlignment="1" applyProtection="1">
      <alignment horizontal="center" vertical="center" shrinkToFit="1"/>
      <protection locked="0"/>
    </xf>
    <xf numFmtId="49" fontId="12" fillId="2" borderId="3" xfId="3" applyNumberFormat="1" applyFont="1" applyFill="1" applyBorder="1" applyAlignment="1" applyProtection="1">
      <alignment horizontal="center" vertical="center" shrinkToFit="1"/>
      <protection locked="0"/>
    </xf>
    <xf numFmtId="187" fontId="17" fillId="2" borderId="0" xfId="2" applyNumberFormat="1" applyFont="1" applyFill="1" applyAlignment="1" applyProtection="1">
      <alignment horizontal="center" vertical="center" shrinkToFit="1"/>
      <protection locked="0"/>
    </xf>
    <xf numFmtId="176" fontId="15" fillId="3" borderId="8" xfId="1" applyNumberFormat="1" applyFont="1" applyFill="1" applyBorder="1" applyAlignment="1" applyProtection="1">
      <alignment horizontal="center" vertical="center"/>
      <protection locked="0"/>
    </xf>
    <xf numFmtId="176" fontId="15" fillId="3" borderId="7" xfId="1" applyNumberFormat="1" applyFont="1" applyFill="1" applyBorder="1" applyAlignment="1" applyProtection="1">
      <alignment horizontal="center" vertical="center"/>
      <protection locked="0"/>
    </xf>
    <xf numFmtId="176" fontId="12" fillId="2" borderId="1" xfId="1" applyNumberFormat="1" applyFont="1" applyFill="1" applyBorder="1" applyAlignment="1" applyProtection="1">
      <alignment horizontal="center" vertical="center" shrinkToFit="1"/>
      <protection locked="0"/>
    </xf>
    <xf numFmtId="176" fontId="12" fillId="2" borderId="6" xfId="1" applyNumberFormat="1" applyFont="1" applyFill="1" applyBorder="1" applyAlignment="1" applyProtection="1">
      <alignment horizontal="center" vertical="center" shrinkToFit="1"/>
      <protection locked="0"/>
    </xf>
    <xf numFmtId="49" fontId="18" fillId="0" borderId="1" xfId="2" applyNumberFormat="1" applyFont="1" applyBorder="1" applyAlignment="1" applyProtection="1">
      <alignment horizontal="center" vertical="center"/>
      <protection hidden="1"/>
    </xf>
    <xf numFmtId="0" fontId="18" fillId="0" borderId="1" xfId="2" applyFont="1" applyBorder="1" applyAlignment="1" applyProtection="1">
      <alignment horizontal="center" vertical="center"/>
      <protection hidden="1"/>
    </xf>
    <xf numFmtId="0" fontId="18" fillId="0" borderId="1" xfId="2" applyFont="1" applyBorder="1" applyAlignment="1" applyProtection="1">
      <alignment horizontal="center" vertical="center" wrapText="1"/>
      <protection hidden="1"/>
    </xf>
    <xf numFmtId="0" fontId="18" fillId="0" borderId="6" xfId="2" applyFont="1" applyBorder="1" applyAlignment="1" applyProtection="1">
      <alignment horizontal="center" vertical="center" wrapText="1"/>
      <protection hidden="1"/>
    </xf>
    <xf numFmtId="0" fontId="18" fillId="0" borderId="5" xfId="2" applyFont="1" applyBorder="1" applyAlignment="1" applyProtection="1">
      <alignment horizontal="center" vertical="center" wrapText="1"/>
      <protection hidden="1"/>
    </xf>
    <xf numFmtId="20" fontId="18" fillId="0" borderId="1" xfId="2" applyNumberFormat="1" applyFont="1" applyBorder="1" applyAlignment="1" applyProtection="1">
      <alignment horizontal="center" vertical="center"/>
      <protection hidden="1"/>
    </xf>
    <xf numFmtId="176" fontId="18" fillId="0" borderId="2" xfId="1" applyNumberFormat="1" applyFont="1" applyBorder="1" applyAlignment="1" applyProtection="1">
      <alignment horizontal="center" vertical="center" wrapText="1"/>
      <protection hidden="1"/>
    </xf>
    <xf numFmtId="176" fontId="18" fillId="0" borderId="6" xfId="1" applyNumberFormat="1" applyFont="1" applyBorder="1" applyAlignment="1" applyProtection="1">
      <alignment horizontal="center" vertical="center" wrapText="1"/>
      <protection hidden="1"/>
    </xf>
    <xf numFmtId="176" fontId="18" fillId="0" borderId="5" xfId="1" applyNumberFormat="1" applyFont="1" applyBorder="1" applyAlignment="1" applyProtection="1">
      <alignment horizontal="center" vertical="center" wrapText="1"/>
      <protection hidden="1"/>
    </xf>
    <xf numFmtId="176" fontId="18" fillId="0" borderId="1" xfId="1" applyNumberFormat="1" applyFont="1" applyBorder="1" applyAlignment="1" applyProtection="1">
      <alignment horizontal="center" vertical="center"/>
      <protection hidden="1"/>
    </xf>
    <xf numFmtId="0" fontId="12" fillId="0" borderId="0" xfId="3" applyFont="1" applyAlignment="1" applyProtection="1">
      <alignment horizontal="center" vertical="center"/>
      <protection hidden="1"/>
    </xf>
    <xf numFmtId="0" fontId="19" fillId="0" borderId="1" xfId="3" applyFont="1" applyBorder="1" applyAlignment="1" applyProtection="1">
      <alignment horizontal="center" vertical="center" shrinkToFit="1"/>
      <protection hidden="1"/>
    </xf>
    <xf numFmtId="20" fontId="21" fillId="0" borderId="2" xfId="3" applyNumberFormat="1" applyFont="1" applyBorder="1" applyAlignment="1" applyProtection="1">
      <alignment horizontal="center" vertical="center" shrinkToFit="1"/>
      <protection hidden="1"/>
    </xf>
    <xf numFmtId="20" fontId="21" fillId="0" borderId="4" xfId="3" applyNumberFormat="1" applyFont="1" applyBorder="1" applyAlignment="1" applyProtection="1">
      <alignment horizontal="center" vertical="center" shrinkToFit="1"/>
      <protection hidden="1"/>
    </xf>
    <xf numFmtId="20" fontId="21" fillId="0" borderId="3" xfId="3" applyNumberFormat="1" applyFont="1" applyBorder="1" applyAlignment="1" applyProtection="1">
      <alignment horizontal="center" vertical="center" shrinkToFit="1"/>
      <protection hidden="1"/>
    </xf>
    <xf numFmtId="20" fontId="19" fillId="0" borderId="2" xfId="3" applyNumberFormat="1" applyFont="1" applyBorder="1" applyAlignment="1" applyProtection="1">
      <alignment horizontal="center" vertical="center" shrinkToFit="1"/>
      <protection hidden="1"/>
    </xf>
    <xf numFmtId="20" fontId="19" fillId="0" borderId="4" xfId="3" applyNumberFormat="1" applyFont="1" applyBorder="1" applyAlignment="1" applyProtection="1">
      <alignment horizontal="center" vertical="center" shrinkToFit="1"/>
      <protection hidden="1"/>
    </xf>
    <xf numFmtId="20" fontId="19" fillId="0" borderId="3" xfId="3" applyNumberFormat="1" applyFont="1" applyBorder="1" applyAlignment="1" applyProtection="1">
      <alignment horizontal="center" vertical="center" shrinkToFit="1"/>
      <protection hidden="1"/>
    </xf>
    <xf numFmtId="0" fontId="21" fillId="0" borderId="1" xfId="0" applyFont="1" applyBorder="1" applyAlignment="1" applyProtection="1">
      <alignment horizontal="center" vertical="center" shrinkToFit="1"/>
      <protection hidden="1"/>
    </xf>
    <xf numFmtId="0" fontId="21" fillId="0" borderId="2" xfId="3" applyFont="1" applyBorder="1" applyAlignment="1" applyProtection="1">
      <alignment horizontal="center" vertical="center" shrinkToFit="1"/>
      <protection hidden="1"/>
    </xf>
    <xf numFmtId="0" fontId="21" fillId="0" borderId="4" xfId="3" applyFont="1" applyBorder="1" applyAlignment="1" applyProtection="1">
      <alignment horizontal="center" vertical="center" shrinkToFit="1"/>
      <protection hidden="1"/>
    </xf>
    <xf numFmtId="0" fontId="21" fillId="0" borderId="3" xfId="3" applyFont="1" applyBorder="1" applyAlignment="1" applyProtection="1">
      <alignment horizontal="center" vertical="center" shrinkToFit="1"/>
      <protection hidden="1"/>
    </xf>
    <xf numFmtId="185" fontId="21" fillId="0" borderId="2" xfId="3" applyNumberFormat="1" applyFont="1" applyBorder="1" applyAlignment="1" applyProtection="1">
      <alignment horizontal="center" vertical="center" shrinkToFit="1"/>
      <protection hidden="1"/>
    </xf>
    <xf numFmtId="185" fontId="21" fillId="0" borderId="3" xfId="3" applyNumberFormat="1" applyFont="1" applyBorder="1" applyAlignment="1" applyProtection="1">
      <alignment horizontal="center" vertical="center" shrinkToFit="1"/>
      <protection hidden="1"/>
    </xf>
    <xf numFmtId="180" fontId="21" fillId="0" borderId="2" xfId="3" applyNumberFormat="1" applyFont="1" applyBorder="1" applyAlignment="1" applyProtection="1">
      <alignment horizontal="center" vertical="center" shrinkToFit="1"/>
      <protection hidden="1"/>
    </xf>
    <xf numFmtId="180" fontId="21" fillId="0" borderId="3" xfId="3" applyNumberFormat="1" applyFont="1" applyBorder="1" applyAlignment="1" applyProtection="1">
      <alignment horizontal="center" vertical="center" shrinkToFit="1"/>
      <protection hidden="1"/>
    </xf>
    <xf numFmtId="56" fontId="21" fillId="0" borderId="2" xfId="3" applyNumberFormat="1" applyFont="1" applyBorder="1" applyAlignment="1" applyProtection="1">
      <alignment horizontal="center" vertical="center" shrinkToFit="1"/>
      <protection hidden="1"/>
    </xf>
    <xf numFmtId="56" fontId="21" fillId="0" borderId="4" xfId="3" applyNumberFormat="1" applyFont="1" applyBorder="1" applyAlignment="1" applyProtection="1">
      <alignment horizontal="center" vertical="center" shrinkToFit="1"/>
      <protection hidden="1"/>
    </xf>
    <xf numFmtId="49" fontId="18" fillId="2" borderId="2" xfId="2" applyNumberFormat="1" applyFont="1" applyFill="1" applyBorder="1" applyAlignment="1" applyProtection="1">
      <alignment horizontal="left" vertical="center" shrinkToFit="1"/>
      <protection locked="0"/>
    </xf>
    <xf numFmtId="49" fontId="18" fillId="2" borderId="4" xfId="2" applyNumberFormat="1" applyFont="1" applyFill="1" applyBorder="1" applyAlignment="1" applyProtection="1">
      <alignment horizontal="left" vertical="center" shrinkToFit="1"/>
      <protection locked="0"/>
    </xf>
    <xf numFmtId="49" fontId="18" fillId="2" borderId="3" xfId="2" applyNumberFormat="1" applyFont="1" applyFill="1" applyBorder="1" applyAlignment="1" applyProtection="1">
      <alignment horizontal="left" vertical="center" shrinkToFit="1"/>
      <protection locked="0"/>
    </xf>
    <xf numFmtId="176" fontId="15" fillId="2" borderId="1" xfId="1" applyNumberFormat="1" applyFont="1" applyFill="1" applyBorder="1" applyAlignment="1" applyProtection="1">
      <alignment horizontal="center" vertical="center" shrinkToFit="1"/>
      <protection locked="0"/>
    </xf>
    <xf numFmtId="176" fontId="15" fillId="2" borderId="6" xfId="1" applyNumberFormat="1" applyFont="1" applyFill="1" applyBorder="1" applyAlignment="1" applyProtection="1">
      <alignment horizontal="center" vertical="center" shrinkToFit="1"/>
      <protection locked="0"/>
    </xf>
  </cellXfs>
  <cellStyles count="9">
    <cellStyle name="桁区切り 2" xfId="1" xr:uid="{AA963960-D855-43CF-8250-9E92D311A37C}"/>
    <cellStyle name="桁区切り 2 2" xfId="7" xr:uid="{0D9E8160-EA21-4E89-84DB-6222D143C020}"/>
    <cellStyle name="桁区切り 2 3" xfId="6" xr:uid="{A9144776-F88A-46B9-85E2-CE54C240960A}"/>
    <cellStyle name="常规_勤務実績(張哲卿)" xfId="3" xr:uid="{2DEC7996-4BF7-4F96-9D65-538EB110F9FA}"/>
    <cellStyle name="標準" xfId="0" builtinId="0"/>
    <cellStyle name="標準 2" xfId="2" xr:uid="{496EEC67-E046-4D05-B5AE-5897DC080FD9}"/>
    <cellStyle name="標準 3" xfId="4" xr:uid="{E75613B2-6D4B-41B7-98AB-435EA00B9154}"/>
    <cellStyle name="標準 4" xfId="5" xr:uid="{C3F3663C-7062-4C3A-929A-A642653B9730}"/>
    <cellStyle name="標準_201103_SMBC営業支援_稼働報告書-1" xfId="8" xr:uid="{334E5879-CE94-4C84-AF7B-51B17898A3D7}"/>
  </cellStyles>
  <dxfs count="42"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1325AD"/>
      </font>
    </dxf>
    <dxf>
      <font>
        <color rgb="FFFF0000"/>
      </font>
    </dxf>
    <dxf>
      <font>
        <color rgb="FF1325AD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1325AD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indexed="10"/>
      </font>
    </dxf>
    <dxf>
      <font>
        <color indexed="30"/>
      </font>
    </dxf>
    <dxf>
      <font>
        <color indexed="1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1325AD"/>
      </font>
    </dxf>
    <dxf>
      <font>
        <color rgb="FFFF0000"/>
      </font>
    </dxf>
    <dxf>
      <font>
        <color rgb="FF1325AD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1325AD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indexed="10"/>
      </font>
    </dxf>
    <dxf>
      <font>
        <color indexed="30"/>
      </font>
    </dxf>
    <dxf>
      <font>
        <color indexed="10"/>
      </font>
    </dxf>
    <dxf>
      <font>
        <color rgb="FFFF0000"/>
      </font>
    </dxf>
    <dxf>
      <font>
        <color rgb="FF0070C0"/>
      </font>
    </dxf>
    <dxf>
      <font>
        <color rgb="FF0070C0"/>
      </font>
    </dxf>
  </dxfs>
  <tableStyles count="0" defaultTableStyle="TableStyleMedium2" defaultPivotStyle="PivotStyleLight16"/>
  <colors>
    <mruColors>
      <color rgb="FF1325AD"/>
      <color rgb="FF000099"/>
      <color rgb="FF1010A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BCB6-039A-44CA-9CE0-9AC2487953F0}">
  <sheetPr codeName="Sheet1">
    <pageSetUpPr fitToPage="1"/>
  </sheetPr>
  <dimension ref="A1:AE47"/>
  <sheetViews>
    <sheetView showGridLines="0" showZeros="0" tabSelected="1" topLeftCell="A5" zoomScaleNormal="100" zoomScaleSheetLayoutView="100" workbookViewId="0">
      <selection activeCell="K16" sqref="K16"/>
    </sheetView>
  </sheetViews>
  <sheetFormatPr defaultRowHeight="13"/>
  <cols>
    <col min="1" max="1" width="6.08203125" style="35" customWidth="1"/>
    <col min="2" max="4" width="6.08203125" style="6" customWidth="1"/>
    <col min="5" max="5" width="6.08203125" style="6" hidden="1" customWidth="1"/>
    <col min="6" max="6" width="6.08203125" style="10" customWidth="1"/>
    <col min="7" max="8" width="6.08203125" style="6" customWidth="1"/>
    <col min="9" max="9" width="6.08203125" style="6" hidden="1" customWidth="1"/>
    <col min="10" max="11" width="6.08203125" style="11" customWidth="1"/>
    <col min="12" max="17" width="6.08203125" style="12" customWidth="1"/>
    <col min="18" max="18" width="9" style="63"/>
    <col min="19" max="19" width="14.83203125" style="63" hidden="1" customWidth="1"/>
    <col min="20" max="20" width="11.58203125" style="63" hidden="1" customWidth="1"/>
    <col min="21" max="21" width="3.5" style="63" bestFit="1" customWidth="1"/>
    <col min="22" max="23" width="9" style="59"/>
    <col min="24" max="212" width="9" style="6"/>
    <col min="213" max="213" width="3.33203125" style="6" customWidth="1"/>
    <col min="214" max="214" width="7.75" style="6" bestFit="1" customWidth="1"/>
    <col min="215" max="215" width="4.5" style="6" customWidth="1"/>
    <col min="216" max="216" width="9.33203125" style="6" bestFit="1" customWidth="1"/>
    <col min="217" max="218" width="8.83203125" style="6" customWidth="1"/>
    <col min="219" max="235" width="0" style="6" hidden="1" customWidth="1"/>
    <col min="236" max="236" width="9" style="6"/>
    <col min="237" max="237" width="9.08203125" style="6" bestFit="1" customWidth="1"/>
    <col min="238" max="238" width="33.25" style="6" customWidth="1"/>
    <col min="239" max="239" width="3.75" style="6" customWidth="1"/>
    <col min="240" max="468" width="9" style="6"/>
    <col min="469" max="469" width="3.33203125" style="6" customWidth="1"/>
    <col min="470" max="470" width="7.75" style="6" bestFit="1" customWidth="1"/>
    <col min="471" max="471" width="4.5" style="6" customWidth="1"/>
    <col min="472" max="472" width="9.33203125" style="6" bestFit="1" customWidth="1"/>
    <col min="473" max="474" width="8.83203125" style="6" customWidth="1"/>
    <col min="475" max="491" width="0" style="6" hidden="1" customWidth="1"/>
    <col min="492" max="492" width="9" style="6"/>
    <col min="493" max="493" width="9.08203125" style="6" bestFit="1" customWidth="1"/>
    <col min="494" max="494" width="33.25" style="6" customWidth="1"/>
    <col min="495" max="495" width="3.75" style="6" customWidth="1"/>
    <col min="496" max="724" width="9" style="6"/>
    <col min="725" max="725" width="3.33203125" style="6" customWidth="1"/>
    <col min="726" max="726" width="7.75" style="6" bestFit="1" customWidth="1"/>
    <col min="727" max="727" width="4.5" style="6" customWidth="1"/>
    <col min="728" max="728" width="9.33203125" style="6" bestFit="1" customWidth="1"/>
    <col min="729" max="730" width="8.83203125" style="6" customWidth="1"/>
    <col min="731" max="747" width="0" style="6" hidden="1" customWidth="1"/>
    <col min="748" max="748" width="9" style="6"/>
    <col min="749" max="749" width="9.08203125" style="6" bestFit="1" customWidth="1"/>
    <col min="750" max="750" width="33.25" style="6" customWidth="1"/>
    <col min="751" max="751" width="3.75" style="6" customWidth="1"/>
    <col min="752" max="980" width="9" style="6"/>
    <col min="981" max="981" width="3.33203125" style="6" customWidth="1"/>
    <col min="982" max="982" width="7.75" style="6" bestFit="1" customWidth="1"/>
    <col min="983" max="983" width="4.5" style="6" customWidth="1"/>
    <col min="984" max="984" width="9.33203125" style="6" bestFit="1" customWidth="1"/>
    <col min="985" max="986" width="8.83203125" style="6" customWidth="1"/>
    <col min="987" max="1003" width="0" style="6" hidden="1" customWidth="1"/>
    <col min="1004" max="1004" width="9" style="6"/>
    <col min="1005" max="1005" width="9.08203125" style="6" bestFit="1" customWidth="1"/>
    <col min="1006" max="1006" width="33.25" style="6" customWidth="1"/>
    <col min="1007" max="1007" width="3.75" style="6" customWidth="1"/>
    <col min="1008" max="1236" width="9" style="6"/>
    <col min="1237" max="1237" width="3.33203125" style="6" customWidth="1"/>
    <col min="1238" max="1238" width="7.75" style="6" bestFit="1" customWidth="1"/>
    <col min="1239" max="1239" width="4.5" style="6" customWidth="1"/>
    <col min="1240" max="1240" width="9.33203125" style="6" bestFit="1" customWidth="1"/>
    <col min="1241" max="1242" width="8.83203125" style="6" customWidth="1"/>
    <col min="1243" max="1259" width="0" style="6" hidden="1" customWidth="1"/>
    <col min="1260" max="1260" width="9" style="6"/>
    <col min="1261" max="1261" width="9.08203125" style="6" bestFit="1" customWidth="1"/>
    <col min="1262" max="1262" width="33.25" style="6" customWidth="1"/>
    <col min="1263" max="1263" width="3.75" style="6" customWidth="1"/>
    <col min="1264" max="1492" width="9" style="6"/>
    <col min="1493" max="1493" width="3.33203125" style="6" customWidth="1"/>
    <col min="1494" max="1494" width="7.75" style="6" bestFit="1" customWidth="1"/>
    <col min="1495" max="1495" width="4.5" style="6" customWidth="1"/>
    <col min="1496" max="1496" width="9.33203125" style="6" bestFit="1" customWidth="1"/>
    <col min="1497" max="1498" width="8.83203125" style="6" customWidth="1"/>
    <col min="1499" max="1515" width="0" style="6" hidden="1" customWidth="1"/>
    <col min="1516" max="1516" width="9" style="6"/>
    <col min="1517" max="1517" width="9.08203125" style="6" bestFit="1" customWidth="1"/>
    <col min="1518" max="1518" width="33.25" style="6" customWidth="1"/>
    <col min="1519" max="1519" width="3.75" style="6" customWidth="1"/>
    <col min="1520" max="1748" width="9" style="6"/>
    <col min="1749" max="1749" width="3.33203125" style="6" customWidth="1"/>
    <col min="1750" max="1750" width="7.75" style="6" bestFit="1" customWidth="1"/>
    <col min="1751" max="1751" width="4.5" style="6" customWidth="1"/>
    <col min="1752" max="1752" width="9.33203125" style="6" bestFit="1" customWidth="1"/>
    <col min="1753" max="1754" width="8.83203125" style="6" customWidth="1"/>
    <col min="1755" max="1771" width="0" style="6" hidden="1" customWidth="1"/>
    <col min="1772" max="1772" width="9" style="6"/>
    <col min="1773" max="1773" width="9.08203125" style="6" bestFit="1" customWidth="1"/>
    <col min="1774" max="1774" width="33.25" style="6" customWidth="1"/>
    <col min="1775" max="1775" width="3.75" style="6" customWidth="1"/>
    <col min="1776" max="2004" width="9" style="6"/>
    <col min="2005" max="2005" width="3.33203125" style="6" customWidth="1"/>
    <col min="2006" max="2006" width="7.75" style="6" bestFit="1" customWidth="1"/>
    <col min="2007" max="2007" width="4.5" style="6" customWidth="1"/>
    <col min="2008" max="2008" width="9.33203125" style="6" bestFit="1" customWidth="1"/>
    <col min="2009" max="2010" width="8.83203125" style="6" customWidth="1"/>
    <col min="2011" max="2027" width="0" style="6" hidden="1" customWidth="1"/>
    <col min="2028" max="2028" width="9" style="6"/>
    <col min="2029" max="2029" width="9.08203125" style="6" bestFit="1" customWidth="1"/>
    <col min="2030" max="2030" width="33.25" style="6" customWidth="1"/>
    <col min="2031" max="2031" width="3.75" style="6" customWidth="1"/>
    <col min="2032" max="2260" width="9" style="6"/>
    <col min="2261" max="2261" width="3.33203125" style="6" customWidth="1"/>
    <col min="2262" max="2262" width="7.75" style="6" bestFit="1" customWidth="1"/>
    <col min="2263" max="2263" width="4.5" style="6" customWidth="1"/>
    <col min="2264" max="2264" width="9.33203125" style="6" bestFit="1" customWidth="1"/>
    <col min="2265" max="2266" width="8.83203125" style="6" customWidth="1"/>
    <col min="2267" max="2283" width="0" style="6" hidden="1" customWidth="1"/>
    <col min="2284" max="2284" width="9" style="6"/>
    <col min="2285" max="2285" width="9.08203125" style="6" bestFit="1" customWidth="1"/>
    <col min="2286" max="2286" width="33.25" style="6" customWidth="1"/>
    <col min="2287" max="2287" width="3.75" style="6" customWidth="1"/>
    <col min="2288" max="2516" width="9" style="6"/>
    <col min="2517" max="2517" width="3.33203125" style="6" customWidth="1"/>
    <col min="2518" max="2518" width="7.75" style="6" bestFit="1" customWidth="1"/>
    <col min="2519" max="2519" width="4.5" style="6" customWidth="1"/>
    <col min="2520" max="2520" width="9.33203125" style="6" bestFit="1" customWidth="1"/>
    <col min="2521" max="2522" width="8.83203125" style="6" customWidth="1"/>
    <col min="2523" max="2539" width="0" style="6" hidden="1" customWidth="1"/>
    <col min="2540" max="2540" width="9" style="6"/>
    <col min="2541" max="2541" width="9.08203125" style="6" bestFit="1" customWidth="1"/>
    <col min="2542" max="2542" width="33.25" style="6" customWidth="1"/>
    <col min="2543" max="2543" width="3.75" style="6" customWidth="1"/>
    <col min="2544" max="2772" width="9" style="6"/>
    <col min="2773" max="2773" width="3.33203125" style="6" customWidth="1"/>
    <col min="2774" max="2774" width="7.75" style="6" bestFit="1" customWidth="1"/>
    <col min="2775" max="2775" width="4.5" style="6" customWidth="1"/>
    <col min="2776" max="2776" width="9.33203125" style="6" bestFit="1" customWidth="1"/>
    <col min="2777" max="2778" width="8.83203125" style="6" customWidth="1"/>
    <col min="2779" max="2795" width="0" style="6" hidden="1" customWidth="1"/>
    <col min="2796" max="2796" width="9" style="6"/>
    <col min="2797" max="2797" width="9.08203125" style="6" bestFit="1" customWidth="1"/>
    <col min="2798" max="2798" width="33.25" style="6" customWidth="1"/>
    <col min="2799" max="2799" width="3.75" style="6" customWidth="1"/>
    <col min="2800" max="3028" width="9" style="6"/>
    <col min="3029" max="3029" width="3.33203125" style="6" customWidth="1"/>
    <col min="3030" max="3030" width="7.75" style="6" bestFit="1" customWidth="1"/>
    <col min="3031" max="3031" width="4.5" style="6" customWidth="1"/>
    <col min="3032" max="3032" width="9.33203125" style="6" bestFit="1" customWidth="1"/>
    <col min="3033" max="3034" width="8.83203125" style="6" customWidth="1"/>
    <col min="3035" max="3051" width="0" style="6" hidden="1" customWidth="1"/>
    <col min="3052" max="3052" width="9" style="6"/>
    <col min="3053" max="3053" width="9.08203125" style="6" bestFit="1" customWidth="1"/>
    <col min="3054" max="3054" width="33.25" style="6" customWidth="1"/>
    <col min="3055" max="3055" width="3.75" style="6" customWidth="1"/>
    <col min="3056" max="3284" width="9" style="6"/>
    <col min="3285" max="3285" width="3.33203125" style="6" customWidth="1"/>
    <col min="3286" max="3286" width="7.75" style="6" bestFit="1" customWidth="1"/>
    <col min="3287" max="3287" width="4.5" style="6" customWidth="1"/>
    <col min="3288" max="3288" width="9.33203125" style="6" bestFit="1" customWidth="1"/>
    <col min="3289" max="3290" width="8.83203125" style="6" customWidth="1"/>
    <col min="3291" max="3307" width="0" style="6" hidden="1" customWidth="1"/>
    <col min="3308" max="3308" width="9" style="6"/>
    <col min="3309" max="3309" width="9.08203125" style="6" bestFit="1" customWidth="1"/>
    <col min="3310" max="3310" width="33.25" style="6" customWidth="1"/>
    <col min="3311" max="3311" width="3.75" style="6" customWidth="1"/>
    <col min="3312" max="3540" width="9" style="6"/>
    <col min="3541" max="3541" width="3.33203125" style="6" customWidth="1"/>
    <col min="3542" max="3542" width="7.75" style="6" bestFit="1" customWidth="1"/>
    <col min="3543" max="3543" width="4.5" style="6" customWidth="1"/>
    <col min="3544" max="3544" width="9.33203125" style="6" bestFit="1" customWidth="1"/>
    <col min="3545" max="3546" width="8.83203125" style="6" customWidth="1"/>
    <col min="3547" max="3563" width="0" style="6" hidden="1" customWidth="1"/>
    <col min="3564" max="3564" width="9" style="6"/>
    <col min="3565" max="3565" width="9.08203125" style="6" bestFit="1" customWidth="1"/>
    <col min="3566" max="3566" width="33.25" style="6" customWidth="1"/>
    <col min="3567" max="3567" width="3.75" style="6" customWidth="1"/>
    <col min="3568" max="3796" width="9" style="6"/>
    <col min="3797" max="3797" width="3.33203125" style="6" customWidth="1"/>
    <col min="3798" max="3798" width="7.75" style="6" bestFit="1" customWidth="1"/>
    <col min="3799" max="3799" width="4.5" style="6" customWidth="1"/>
    <col min="3800" max="3800" width="9.33203125" style="6" bestFit="1" customWidth="1"/>
    <col min="3801" max="3802" width="8.83203125" style="6" customWidth="1"/>
    <col min="3803" max="3819" width="0" style="6" hidden="1" customWidth="1"/>
    <col min="3820" max="3820" width="9" style="6"/>
    <col min="3821" max="3821" width="9.08203125" style="6" bestFit="1" customWidth="1"/>
    <col min="3822" max="3822" width="33.25" style="6" customWidth="1"/>
    <col min="3823" max="3823" width="3.75" style="6" customWidth="1"/>
    <col min="3824" max="4052" width="9" style="6"/>
    <col min="4053" max="4053" width="3.33203125" style="6" customWidth="1"/>
    <col min="4054" max="4054" width="7.75" style="6" bestFit="1" customWidth="1"/>
    <col min="4055" max="4055" width="4.5" style="6" customWidth="1"/>
    <col min="4056" max="4056" width="9.33203125" style="6" bestFit="1" customWidth="1"/>
    <col min="4057" max="4058" width="8.83203125" style="6" customWidth="1"/>
    <col min="4059" max="4075" width="0" style="6" hidden="1" customWidth="1"/>
    <col min="4076" max="4076" width="9" style="6"/>
    <col min="4077" max="4077" width="9.08203125" style="6" bestFit="1" customWidth="1"/>
    <col min="4078" max="4078" width="33.25" style="6" customWidth="1"/>
    <col min="4079" max="4079" width="3.75" style="6" customWidth="1"/>
    <col min="4080" max="4308" width="9" style="6"/>
    <col min="4309" max="4309" width="3.33203125" style="6" customWidth="1"/>
    <col min="4310" max="4310" width="7.75" style="6" bestFit="1" customWidth="1"/>
    <col min="4311" max="4311" width="4.5" style="6" customWidth="1"/>
    <col min="4312" max="4312" width="9.33203125" style="6" bestFit="1" customWidth="1"/>
    <col min="4313" max="4314" width="8.83203125" style="6" customWidth="1"/>
    <col min="4315" max="4331" width="0" style="6" hidden="1" customWidth="1"/>
    <col min="4332" max="4332" width="9" style="6"/>
    <col min="4333" max="4333" width="9.08203125" style="6" bestFit="1" customWidth="1"/>
    <col min="4334" max="4334" width="33.25" style="6" customWidth="1"/>
    <col min="4335" max="4335" width="3.75" style="6" customWidth="1"/>
    <col min="4336" max="4564" width="9" style="6"/>
    <col min="4565" max="4565" width="3.33203125" style="6" customWidth="1"/>
    <col min="4566" max="4566" width="7.75" style="6" bestFit="1" customWidth="1"/>
    <col min="4567" max="4567" width="4.5" style="6" customWidth="1"/>
    <col min="4568" max="4568" width="9.33203125" style="6" bestFit="1" customWidth="1"/>
    <col min="4569" max="4570" width="8.83203125" style="6" customWidth="1"/>
    <col min="4571" max="4587" width="0" style="6" hidden="1" customWidth="1"/>
    <col min="4588" max="4588" width="9" style="6"/>
    <col min="4589" max="4589" width="9.08203125" style="6" bestFit="1" customWidth="1"/>
    <col min="4590" max="4590" width="33.25" style="6" customWidth="1"/>
    <col min="4591" max="4591" width="3.75" style="6" customWidth="1"/>
    <col min="4592" max="4820" width="9" style="6"/>
    <col min="4821" max="4821" width="3.33203125" style="6" customWidth="1"/>
    <col min="4822" max="4822" width="7.75" style="6" bestFit="1" customWidth="1"/>
    <col min="4823" max="4823" width="4.5" style="6" customWidth="1"/>
    <col min="4824" max="4824" width="9.33203125" style="6" bestFit="1" customWidth="1"/>
    <col min="4825" max="4826" width="8.83203125" style="6" customWidth="1"/>
    <col min="4827" max="4843" width="0" style="6" hidden="1" customWidth="1"/>
    <col min="4844" max="4844" width="9" style="6"/>
    <col min="4845" max="4845" width="9.08203125" style="6" bestFit="1" customWidth="1"/>
    <col min="4846" max="4846" width="33.25" style="6" customWidth="1"/>
    <col min="4847" max="4847" width="3.75" style="6" customWidth="1"/>
    <col min="4848" max="5076" width="9" style="6"/>
    <col min="5077" max="5077" width="3.33203125" style="6" customWidth="1"/>
    <col min="5078" max="5078" width="7.75" style="6" bestFit="1" customWidth="1"/>
    <col min="5079" max="5079" width="4.5" style="6" customWidth="1"/>
    <col min="5080" max="5080" width="9.33203125" style="6" bestFit="1" customWidth="1"/>
    <col min="5081" max="5082" width="8.83203125" style="6" customWidth="1"/>
    <col min="5083" max="5099" width="0" style="6" hidden="1" customWidth="1"/>
    <col min="5100" max="5100" width="9" style="6"/>
    <col min="5101" max="5101" width="9.08203125" style="6" bestFit="1" customWidth="1"/>
    <col min="5102" max="5102" width="33.25" style="6" customWidth="1"/>
    <col min="5103" max="5103" width="3.75" style="6" customWidth="1"/>
    <col min="5104" max="5332" width="9" style="6"/>
    <col min="5333" max="5333" width="3.33203125" style="6" customWidth="1"/>
    <col min="5334" max="5334" width="7.75" style="6" bestFit="1" customWidth="1"/>
    <col min="5335" max="5335" width="4.5" style="6" customWidth="1"/>
    <col min="5336" max="5336" width="9.33203125" style="6" bestFit="1" customWidth="1"/>
    <col min="5337" max="5338" width="8.83203125" style="6" customWidth="1"/>
    <col min="5339" max="5355" width="0" style="6" hidden="1" customWidth="1"/>
    <col min="5356" max="5356" width="9" style="6"/>
    <col min="5357" max="5357" width="9.08203125" style="6" bestFit="1" customWidth="1"/>
    <col min="5358" max="5358" width="33.25" style="6" customWidth="1"/>
    <col min="5359" max="5359" width="3.75" style="6" customWidth="1"/>
    <col min="5360" max="5588" width="9" style="6"/>
    <col min="5589" max="5589" width="3.33203125" style="6" customWidth="1"/>
    <col min="5590" max="5590" width="7.75" style="6" bestFit="1" customWidth="1"/>
    <col min="5591" max="5591" width="4.5" style="6" customWidth="1"/>
    <col min="5592" max="5592" width="9.33203125" style="6" bestFit="1" customWidth="1"/>
    <col min="5593" max="5594" width="8.83203125" style="6" customWidth="1"/>
    <col min="5595" max="5611" width="0" style="6" hidden="1" customWidth="1"/>
    <col min="5612" max="5612" width="9" style="6"/>
    <col min="5613" max="5613" width="9.08203125" style="6" bestFit="1" customWidth="1"/>
    <col min="5614" max="5614" width="33.25" style="6" customWidth="1"/>
    <col min="5615" max="5615" width="3.75" style="6" customWidth="1"/>
    <col min="5616" max="5844" width="9" style="6"/>
    <col min="5845" max="5845" width="3.33203125" style="6" customWidth="1"/>
    <col min="5846" max="5846" width="7.75" style="6" bestFit="1" customWidth="1"/>
    <col min="5847" max="5847" width="4.5" style="6" customWidth="1"/>
    <col min="5848" max="5848" width="9.33203125" style="6" bestFit="1" customWidth="1"/>
    <col min="5849" max="5850" width="8.83203125" style="6" customWidth="1"/>
    <col min="5851" max="5867" width="0" style="6" hidden="1" customWidth="1"/>
    <col min="5868" max="5868" width="9" style="6"/>
    <col min="5869" max="5869" width="9.08203125" style="6" bestFit="1" customWidth="1"/>
    <col min="5870" max="5870" width="33.25" style="6" customWidth="1"/>
    <col min="5871" max="5871" width="3.75" style="6" customWidth="1"/>
    <col min="5872" max="6100" width="9" style="6"/>
    <col min="6101" max="6101" width="3.33203125" style="6" customWidth="1"/>
    <col min="6102" max="6102" width="7.75" style="6" bestFit="1" customWidth="1"/>
    <col min="6103" max="6103" width="4.5" style="6" customWidth="1"/>
    <col min="6104" max="6104" width="9.33203125" style="6" bestFit="1" customWidth="1"/>
    <col min="6105" max="6106" width="8.83203125" style="6" customWidth="1"/>
    <col min="6107" max="6123" width="0" style="6" hidden="1" customWidth="1"/>
    <col min="6124" max="6124" width="9" style="6"/>
    <col min="6125" max="6125" width="9.08203125" style="6" bestFit="1" customWidth="1"/>
    <col min="6126" max="6126" width="33.25" style="6" customWidth="1"/>
    <col min="6127" max="6127" width="3.75" style="6" customWidth="1"/>
    <col min="6128" max="6356" width="9" style="6"/>
    <col min="6357" max="6357" width="3.33203125" style="6" customWidth="1"/>
    <col min="6358" max="6358" width="7.75" style="6" bestFit="1" customWidth="1"/>
    <col min="6359" max="6359" width="4.5" style="6" customWidth="1"/>
    <col min="6360" max="6360" width="9.33203125" style="6" bestFit="1" customWidth="1"/>
    <col min="6361" max="6362" width="8.83203125" style="6" customWidth="1"/>
    <col min="6363" max="6379" width="0" style="6" hidden="1" customWidth="1"/>
    <col min="6380" max="6380" width="9" style="6"/>
    <col min="6381" max="6381" width="9.08203125" style="6" bestFit="1" customWidth="1"/>
    <col min="6382" max="6382" width="33.25" style="6" customWidth="1"/>
    <col min="6383" max="6383" width="3.75" style="6" customWidth="1"/>
    <col min="6384" max="6612" width="9" style="6"/>
    <col min="6613" max="6613" width="3.33203125" style="6" customWidth="1"/>
    <col min="6614" max="6614" width="7.75" style="6" bestFit="1" customWidth="1"/>
    <col min="6615" max="6615" width="4.5" style="6" customWidth="1"/>
    <col min="6616" max="6616" width="9.33203125" style="6" bestFit="1" customWidth="1"/>
    <col min="6617" max="6618" width="8.83203125" style="6" customWidth="1"/>
    <col min="6619" max="6635" width="0" style="6" hidden="1" customWidth="1"/>
    <col min="6636" max="6636" width="9" style="6"/>
    <col min="6637" max="6637" width="9.08203125" style="6" bestFit="1" customWidth="1"/>
    <col min="6638" max="6638" width="33.25" style="6" customWidth="1"/>
    <col min="6639" max="6639" width="3.75" style="6" customWidth="1"/>
    <col min="6640" max="6868" width="9" style="6"/>
    <col min="6869" max="6869" width="3.33203125" style="6" customWidth="1"/>
    <col min="6870" max="6870" width="7.75" style="6" bestFit="1" customWidth="1"/>
    <col min="6871" max="6871" width="4.5" style="6" customWidth="1"/>
    <col min="6872" max="6872" width="9.33203125" style="6" bestFit="1" customWidth="1"/>
    <col min="6873" max="6874" width="8.83203125" style="6" customWidth="1"/>
    <col min="6875" max="6891" width="0" style="6" hidden="1" customWidth="1"/>
    <col min="6892" max="6892" width="9" style="6"/>
    <col min="6893" max="6893" width="9.08203125" style="6" bestFit="1" customWidth="1"/>
    <col min="6894" max="6894" width="33.25" style="6" customWidth="1"/>
    <col min="6895" max="6895" width="3.75" style="6" customWidth="1"/>
    <col min="6896" max="7124" width="9" style="6"/>
    <col min="7125" max="7125" width="3.33203125" style="6" customWidth="1"/>
    <col min="7126" max="7126" width="7.75" style="6" bestFit="1" customWidth="1"/>
    <col min="7127" max="7127" width="4.5" style="6" customWidth="1"/>
    <col min="7128" max="7128" width="9.33203125" style="6" bestFit="1" customWidth="1"/>
    <col min="7129" max="7130" width="8.83203125" style="6" customWidth="1"/>
    <col min="7131" max="7147" width="0" style="6" hidden="1" customWidth="1"/>
    <col min="7148" max="7148" width="9" style="6"/>
    <col min="7149" max="7149" width="9.08203125" style="6" bestFit="1" customWidth="1"/>
    <col min="7150" max="7150" width="33.25" style="6" customWidth="1"/>
    <col min="7151" max="7151" width="3.75" style="6" customWidth="1"/>
    <col min="7152" max="7380" width="9" style="6"/>
    <col min="7381" max="7381" width="3.33203125" style="6" customWidth="1"/>
    <col min="7382" max="7382" width="7.75" style="6" bestFit="1" customWidth="1"/>
    <col min="7383" max="7383" width="4.5" style="6" customWidth="1"/>
    <col min="7384" max="7384" width="9.33203125" style="6" bestFit="1" customWidth="1"/>
    <col min="7385" max="7386" width="8.83203125" style="6" customWidth="1"/>
    <col min="7387" max="7403" width="0" style="6" hidden="1" customWidth="1"/>
    <col min="7404" max="7404" width="9" style="6"/>
    <col min="7405" max="7405" width="9.08203125" style="6" bestFit="1" customWidth="1"/>
    <col min="7406" max="7406" width="33.25" style="6" customWidth="1"/>
    <col min="7407" max="7407" width="3.75" style="6" customWidth="1"/>
    <col min="7408" max="7636" width="9" style="6"/>
    <col min="7637" max="7637" width="3.33203125" style="6" customWidth="1"/>
    <col min="7638" max="7638" width="7.75" style="6" bestFit="1" customWidth="1"/>
    <col min="7639" max="7639" width="4.5" style="6" customWidth="1"/>
    <col min="7640" max="7640" width="9.33203125" style="6" bestFit="1" customWidth="1"/>
    <col min="7641" max="7642" width="8.83203125" style="6" customWidth="1"/>
    <col min="7643" max="7659" width="0" style="6" hidden="1" customWidth="1"/>
    <col min="7660" max="7660" width="9" style="6"/>
    <col min="7661" max="7661" width="9.08203125" style="6" bestFit="1" customWidth="1"/>
    <col min="7662" max="7662" width="33.25" style="6" customWidth="1"/>
    <col min="7663" max="7663" width="3.75" style="6" customWidth="1"/>
    <col min="7664" max="7892" width="9" style="6"/>
    <col min="7893" max="7893" width="3.33203125" style="6" customWidth="1"/>
    <col min="7894" max="7894" width="7.75" style="6" bestFit="1" customWidth="1"/>
    <col min="7895" max="7895" width="4.5" style="6" customWidth="1"/>
    <col min="7896" max="7896" width="9.33203125" style="6" bestFit="1" customWidth="1"/>
    <col min="7897" max="7898" width="8.83203125" style="6" customWidth="1"/>
    <col min="7899" max="7915" width="0" style="6" hidden="1" customWidth="1"/>
    <col min="7916" max="7916" width="9" style="6"/>
    <col min="7917" max="7917" width="9.08203125" style="6" bestFit="1" customWidth="1"/>
    <col min="7918" max="7918" width="33.25" style="6" customWidth="1"/>
    <col min="7919" max="7919" width="3.75" style="6" customWidth="1"/>
    <col min="7920" max="8148" width="9" style="6"/>
    <col min="8149" max="8149" width="3.33203125" style="6" customWidth="1"/>
    <col min="8150" max="8150" width="7.75" style="6" bestFit="1" customWidth="1"/>
    <col min="8151" max="8151" width="4.5" style="6" customWidth="1"/>
    <col min="8152" max="8152" width="9.33203125" style="6" bestFit="1" customWidth="1"/>
    <col min="8153" max="8154" width="8.83203125" style="6" customWidth="1"/>
    <col min="8155" max="8171" width="0" style="6" hidden="1" customWidth="1"/>
    <col min="8172" max="8172" width="9" style="6"/>
    <col min="8173" max="8173" width="9.08203125" style="6" bestFit="1" customWidth="1"/>
    <col min="8174" max="8174" width="33.25" style="6" customWidth="1"/>
    <col min="8175" max="8175" width="3.75" style="6" customWidth="1"/>
    <col min="8176" max="8404" width="9" style="6"/>
    <col min="8405" max="8405" width="3.33203125" style="6" customWidth="1"/>
    <col min="8406" max="8406" width="7.75" style="6" bestFit="1" customWidth="1"/>
    <col min="8407" max="8407" width="4.5" style="6" customWidth="1"/>
    <col min="8408" max="8408" width="9.33203125" style="6" bestFit="1" customWidth="1"/>
    <col min="8409" max="8410" width="8.83203125" style="6" customWidth="1"/>
    <col min="8411" max="8427" width="0" style="6" hidden="1" customWidth="1"/>
    <col min="8428" max="8428" width="9" style="6"/>
    <col min="8429" max="8429" width="9.08203125" style="6" bestFit="1" customWidth="1"/>
    <col min="8430" max="8430" width="33.25" style="6" customWidth="1"/>
    <col min="8431" max="8431" width="3.75" style="6" customWidth="1"/>
    <col min="8432" max="8660" width="9" style="6"/>
    <col min="8661" max="8661" width="3.33203125" style="6" customWidth="1"/>
    <col min="8662" max="8662" width="7.75" style="6" bestFit="1" customWidth="1"/>
    <col min="8663" max="8663" width="4.5" style="6" customWidth="1"/>
    <col min="8664" max="8664" width="9.33203125" style="6" bestFit="1" customWidth="1"/>
    <col min="8665" max="8666" width="8.83203125" style="6" customWidth="1"/>
    <col min="8667" max="8683" width="0" style="6" hidden="1" customWidth="1"/>
    <col min="8684" max="8684" width="9" style="6"/>
    <col min="8685" max="8685" width="9.08203125" style="6" bestFit="1" customWidth="1"/>
    <col min="8686" max="8686" width="33.25" style="6" customWidth="1"/>
    <col min="8687" max="8687" width="3.75" style="6" customWidth="1"/>
    <col min="8688" max="8916" width="9" style="6"/>
    <col min="8917" max="8917" width="3.33203125" style="6" customWidth="1"/>
    <col min="8918" max="8918" width="7.75" style="6" bestFit="1" customWidth="1"/>
    <col min="8919" max="8919" width="4.5" style="6" customWidth="1"/>
    <col min="8920" max="8920" width="9.33203125" style="6" bestFit="1" customWidth="1"/>
    <col min="8921" max="8922" width="8.83203125" style="6" customWidth="1"/>
    <col min="8923" max="8939" width="0" style="6" hidden="1" customWidth="1"/>
    <col min="8940" max="8940" width="9" style="6"/>
    <col min="8941" max="8941" width="9.08203125" style="6" bestFit="1" customWidth="1"/>
    <col min="8942" max="8942" width="33.25" style="6" customWidth="1"/>
    <col min="8943" max="8943" width="3.75" style="6" customWidth="1"/>
    <col min="8944" max="9172" width="9" style="6"/>
    <col min="9173" max="9173" width="3.33203125" style="6" customWidth="1"/>
    <col min="9174" max="9174" width="7.75" style="6" bestFit="1" customWidth="1"/>
    <col min="9175" max="9175" width="4.5" style="6" customWidth="1"/>
    <col min="9176" max="9176" width="9.33203125" style="6" bestFit="1" customWidth="1"/>
    <col min="9177" max="9178" width="8.83203125" style="6" customWidth="1"/>
    <col min="9179" max="9195" width="0" style="6" hidden="1" customWidth="1"/>
    <col min="9196" max="9196" width="9" style="6"/>
    <col min="9197" max="9197" width="9.08203125" style="6" bestFit="1" customWidth="1"/>
    <col min="9198" max="9198" width="33.25" style="6" customWidth="1"/>
    <col min="9199" max="9199" width="3.75" style="6" customWidth="1"/>
    <col min="9200" max="9428" width="9" style="6"/>
    <col min="9429" max="9429" width="3.33203125" style="6" customWidth="1"/>
    <col min="9430" max="9430" width="7.75" style="6" bestFit="1" customWidth="1"/>
    <col min="9431" max="9431" width="4.5" style="6" customWidth="1"/>
    <col min="9432" max="9432" width="9.33203125" style="6" bestFit="1" customWidth="1"/>
    <col min="9433" max="9434" width="8.83203125" style="6" customWidth="1"/>
    <col min="9435" max="9451" width="0" style="6" hidden="1" customWidth="1"/>
    <col min="9452" max="9452" width="9" style="6"/>
    <col min="9453" max="9453" width="9.08203125" style="6" bestFit="1" customWidth="1"/>
    <col min="9454" max="9454" width="33.25" style="6" customWidth="1"/>
    <col min="9455" max="9455" width="3.75" style="6" customWidth="1"/>
    <col min="9456" max="9684" width="9" style="6"/>
    <col min="9685" max="9685" width="3.33203125" style="6" customWidth="1"/>
    <col min="9686" max="9686" width="7.75" style="6" bestFit="1" customWidth="1"/>
    <col min="9687" max="9687" width="4.5" style="6" customWidth="1"/>
    <col min="9688" max="9688" width="9.33203125" style="6" bestFit="1" customWidth="1"/>
    <col min="9689" max="9690" width="8.83203125" style="6" customWidth="1"/>
    <col min="9691" max="9707" width="0" style="6" hidden="1" customWidth="1"/>
    <col min="9708" max="9708" width="9" style="6"/>
    <col min="9709" max="9709" width="9.08203125" style="6" bestFit="1" customWidth="1"/>
    <col min="9710" max="9710" width="33.25" style="6" customWidth="1"/>
    <col min="9711" max="9711" width="3.75" style="6" customWidth="1"/>
    <col min="9712" max="9940" width="9" style="6"/>
    <col min="9941" max="9941" width="3.33203125" style="6" customWidth="1"/>
    <col min="9942" max="9942" width="7.75" style="6" bestFit="1" customWidth="1"/>
    <col min="9943" max="9943" width="4.5" style="6" customWidth="1"/>
    <col min="9944" max="9944" width="9.33203125" style="6" bestFit="1" customWidth="1"/>
    <col min="9945" max="9946" width="8.83203125" style="6" customWidth="1"/>
    <col min="9947" max="9963" width="0" style="6" hidden="1" customWidth="1"/>
    <col min="9964" max="9964" width="9" style="6"/>
    <col min="9965" max="9965" width="9.08203125" style="6" bestFit="1" customWidth="1"/>
    <col min="9966" max="9966" width="33.25" style="6" customWidth="1"/>
    <col min="9967" max="9967" width="3.75" style="6" customWidth="1"/>
    <col min="9968" max="10196" width="9" style="6"/>
    <col min="10197" max="10197" width="3.33203125" style="6" customWidth="1"/>
    <col min="10198" max="10198" width="7.75" style="6" bestFit="1" customWidth="1"/>
    <col min="10199" max="10199" width="4.5" style="6" customWidth="1"/>
    <col min="10200" max="10200" width="9.33203125" style="6" bestFit="1" customWidth="1"/>
    <col min="10201" max="10202" width="8.83203125" style="6" customWidth="1"/>
    <col min="10203" max="10219" width="0" style="6" hidden="1" customWidth="1"/>
    <col min="10220" max="10220" width="9" style="6"/>
    <col min="10221" max="10221" width="9.08203125" style="6" bestFit="1" customWidth="1"/>
    <col min="10222" max="10222" width="33.25" style="6" customWidth="1"/>
    <col min="10223" max="10223" width="3.75" style="6" customWidth="1"/>
    <col min="10224" max="10452" width="9" style="6"/>
    <col min="10453" max="10453" width="3.33203125" style="6" customWidth="1"/>
    <col min="10454" max="10454" width="7.75" style="6" bestFit="1" customWidth="1"/>
    <col min="10455" max="10455" width="4.5" style="6" customWidth="1"/>
    <col min="10456" max="10456" width="9.33203125" style="6" bestFit="1" customWidth="1"/>
    <col min="10457" max="10458" width="8.83203125" style="6" customWidth="1"/>
    <col min="10459" max="10475" width="0" style="6" hidden="1" customWidth="1"/>
    <col min="10476" max="10476" width="9" style="6"/>
    <col min="10477" max="10477" width="9.08203125" style="6" bestFit="1" customWidth="1"/>
    <col min="10478" max="10478" width="33.25" style="6" customWidth="1"/>
    <col min="10479" max="10479" width="3.75" style="6" customWidth="1"/>
    <col min="10480" max="10708" width="9" style="6"/>
    <col min="10709" max="10709" width="3.33203125" style="6" customWidth="1"/>
    <col min="10710" max="10710" width="7.75" style="6" bestFit="1" customWidth="1"/>
    <col min="10711" max="10711" width="4.5" style="6" customWidth="1"/>
    <col min="10712" max="10712" width="9.33203125" style="6" bestFit="1" customWidth="1"/>
    <col min="10713" max="10714" width="8.83203125" style="6" customWidth="1"/>
    <col min="10715" max="10731" width="0" style="6" hidden="1" customWidth="1"/>
    <col min="10732" max="10732" width="9" style="6"/>
    <col min="10733" max="10733" width="9.08203125" style="6" bestFit="1" customWidth="1"/>
    <col min="10734" max="10734" width="33.25" style="6" customWidth="1"/>
    <col min="10735" max="10735" width="3.75" style="6" customWidth="1"/>
    <col min="10736" max="10964" width="9" style="6"/>
    <col min="10965" max="10965" width="3.33203125" style="6" customWidth="1"/>
    <col min="10966" max="10966" width="7.75" style="6" bestFit="1" customWidth="1"/>
    <col min="10967" max="10967" width="4.5" style="6" customWidth="1"/>
    <col min="10968" max="10968" width="9.33203125" style="6" bestFit="1" customWidth="1"/>
    <col min="10969" max="10970" width="8.83203125" style="6" customWidth="1"/>
    <col min="10971" max="10987" width="0" style="6" hidden="1" customWidth="1"/>
    <col min="10988" max="10988" width="9" style="6"/>
    <col min="10989" max="10989" width="9.08203125" style="6" bestFit="1" customWidth="1"/>
    <col min="10990" max="10990" width="33.25" style="6" customWidth="1"/>
    <col min="10991" max="10991" width="3.75" style="6" customWidth="1"/>
    <col min="10992" max="11220" width="9" style="6"/>
    <col min="11221" max="11221" width="3.33203125" style="6" customWidth="1"/>
    <col min="11222" max="11222" width="7.75" style="6" bestFit="1" customWidth="1"/>
    <col min="11223" max="11223" width="4.5" style="6" customWidth="1"/>
    <col min="11224" max="11224" width="9.33203125" style="6" bestFit="1" customWidth="1"/>
    <col min="11225" max="11226" width="8.83203125" style="6" customWidth="1"/>
    <col min="11227" max="11243" width="0" style="6" hidden="1" customWidth="1"/>
    <col min="11244" max="11244" width="9" style="6"/>
    <col min="11245" max="11245" width="9.08203125" style="6" bestFit="1" customWidth="1"/>
    <col min="11246" max="11246" width="33.25" style="6" customWidth="1"/>
    <col min="11247" max="11247" width="3.75" style="6" customWidth="1"/>
    <col min="11248" max="11476" width="9" style="6"/>
    <col min="11477" max="11477" width="3.33203125" style="6" customWidth="1"/>
    <col min="11478" max="11478" width="7.75" style="6" bestFit="1" customWidth="1"/>
    <col min="11479" max="11479" width="4.5" style="6" customWidth="1"/>
    <col min="11480" max="11480" width="9.33203125" style="6" bestFit="1" customWidth="1"/>
    <col min="11481" max="11482" width="8.83203125" style="6" customWidth="1"/>
    <col min="11483" max="11499" width="0" style="6" hidden="1" customWidth="1"/>
    <col min="11500" max="11500" width="9" style="6"/>
    <col min="11501" max="11501" width="9.08203125" style="6" bestFit="1" customWidth="1"/>
    <col min="11502" max="11502" width="33.25" style="6" customWidth="1"/>
    <col min="11503" max="11503" width="3.75" style="6" customWidth="1"/>
    <col min="11504" max="11732" width="9" style="6"/>
    <col min="11733" max="11733" width="3.33203125" style="6" customWidth="1"/>
    <col min="11734" max="11734" width="7.75" style="6" bestFit="1" customWidth="1"/>
    <col min="11735" max="11735" width="4.5" style="6" customWidth="1"/>
    <col min="11736" max="11736" width="9.33203125" style="6" bestFit="1" customWidth="1"/>
    <col min="11737" max="11738" width="8.83203125" style="6" customWidth="1"/>
    <col min="11739" max="11755" width="0" style="6" hidden="1" customWidth="1"/>
    <col min="11756" max="11756" width="9" style="6"/>
    <col min="11757" max="11757" width="9.08203125" style="6" bestFit="1" customWidth="1"/>
    <col min="11758" max="11758" width="33.25" style="6" customWidth="1"/>
    <col min="11759" max="11759" width="3.75" style="6" customWidth="1"/>
    <col min="11760" max="11988" width="9" style="6"/>
    <col min="11989" max="11989" width="3.33203125" style="6" customWidth="1"/>
    <col min="11990" max="11990" width="7.75" style="6" bestFit="1" customWidth="1"/>
    <col min="11991" max="11991" width="4.5" style="6" customWidth="1"/>
    <col min="11992" max="11992" width="9.33203125" style="6" bestFit="1" customWidth="1"/>
    <col min="11993" max="11994" width="8.83203125" style="6" customWidth="1"/>
    <col min="11995" max="12011" width="0" style="6" hidden="1" customWidth="1"/>
    <col min="12012" max="12012" width="9" style="6"/>
    <col min="12013" max="12013" width="9.08203125" style="6" bestFit="1" customWidth="1"/>
    <col min="12014" max="12014" width="33.25" style="6" customWidth="1"/>
    <col min="12015" max="12015" width="3.75" style="6" customWidth="1"/>
    <col min="12016" max="12244" width="9" style="6"/>
    <col min="12245" max="12245" width="3.33203125" style="6" customWidth="1"/>
    <col min="12246" max="12246" width="7.75" style="6" bestFit="1" customWidth="1"/>
    <col min="12247" max="12247" width="4.5" style="6" customWidth="1"/>
    <col min="12248" max="12248" width="9.33203125" style="6" bestFit="1" customWidth="1"/>
    <col min="12249" max="12250" width="8.83203125" style="6" customWidth="1"/>
    <col min="12251" max="12267" width="0" style="6" hidden="1" customWidth="1"/>
    <col min="12268" max="12268" width="9" style="6"/>
    <col min="12269" max="12269" width="9.08203125" style="6" bestFit="1" customWidth="1"/>
    <col min="12270" max="12270" width="33.25" style="6" customWidth="1"/>
    <col min="12271" max="12271" width="3.75" style="6" customWidth="1"/>
    <col min="12272" max="12500" width="9" style="6"/>
    <col min="12501" max="12501" width="3.33203125" style="6" customWidth="1"/>
    <col min="12502" max="12502" width="7.75" style="6" bestFit="1" customWidth="1"/>
    <col min="12503" max="12503" width="4.5" style="6" customWidth="1"/>
    <col min="12504" max="12504" width="9.33203125" style="6" bestFit="1" customWidth="1"/>
    <col min="12505" max="12506" width="8.83203125" style="6" customWidth="1"/>
    <col min="12507" max="12523" width="0" style="6" hidden="1" customWidth="1"/>
    <col min="12524" max="12524" width="9" style="6"/>
    <col min="12525" max="12525" width="9.08203125" style="6" bestFit="1" customWidth="1"/>
    <col min="12526" max="12526" width="33.25" style="6" customWidth="1"/>
    <col min="12527" max="12527" width="3.75" style="6" customWidth="1"/>
    <col min="12528" max="12756" width="9" style="6"/>
    <col min="12757" max="12757" width="3.33203125" style="6" customWidth="1"/>
    <col min="12758" max="12758" width="7.75" style="6" bestFit="1" customWidth="1"/>
    <col min="12759" max="12759" width="4.5" style="6" customWidth="1"/>
    <col min="12760" max="12760" width="9.33203125" style="6" bestFit="1" customWidth="1"/>
    <col min="12761" max="12762" width="8.83203125" style="6" customWidth="1"/>
    <col min="12763" max="12779" width="0" style="6" hidden="1" customWidth="1"/>
    <col min="12780" max="12780" width="9" style="6"/>
    <col min="12781" max="12781" width="9.08203125" style="6" bestFit="1" customWidth="1"/>
    <col min="12782" max="12782" width="33.25" style="6" customWidth="1"/>
    <col min="12783" max="12783" width="3.75" style="6" customWidth="1"/>
    <col min="12784" max="13012" width="9" style="6"/>
    <col min="13013" max="13013" width="3.33203125" style="6" customWidth="1"/>
    <col min="13014" max="13014" width="7.75" style="6" bestFit="1" customWidth="1"/>
    <col min="13015" max="13015" width="4.5" style="6" customWidth="1"/>
    <col min="13016" max="13016" width="9.33203125" style="6" bestFit="1" customWidth="1"/>
    <col min="13017" max="13018" width="8.83203125" style="6" customWidth="1"/>
    <col min="13019" max="13035" width="0" style="6" hidden="1" customWidth="1"/>
    <col min="13036" max="13036" width="9" style="6"/>
    <col min="13037" max="13037" width="9.08203125" style="6" bestFit="1" customWidth="1"/>
    <col min="13038" max="13038" width="33.25" style="6" customWidth="1"/>
    <col min="13039" max="13039" width="3.75" style="6" customWidth="1"/>
    <col min="13040" max="13268" width="9" style="6"/>
    <col min="13269" max="13269" width="3.33203125" style="6" customWidth="1"/>
    <col min="13270" max="13270" width="7.75" style="6" bestFit="1" customWidth="1"/>
    <col min="13271" max="13271" width="4.5" style="6" customWidth="1"/>
    <col min="13272" max="13272" width="9.33203125" style="6" bestFit="1" customWidth="1"/>
    <col min="13273" max="13274" width="8.83203125" style="6" customWidth="1"/>
    <col min="13275" max="13291" width="0" style="6" hidden="1" customWidth="1"/>
    <col min="13292" max="13292" width="9" style="6"/>
    <col min="13293" max="13293" width="9.08203125" style="6" bestFit="1" customWidth="1"/>
    <col min="13294" max="13294" width="33.25" style="6" customWidth="1"/>
    <col min="13295" max="13295" width="3.75" style="6" customWidth="1"/>
    <col min="13296" max="13524" width="9" style="6"/>
    <col min="13525" max="13525" width="3.33203125" style="6" customWidth="1"/>
    <col min="13526" max="13526" width="7.75" style="6" bestFit="1" customWidth="1"/>
    <col min="13527" max="13527" width="4.5" style="6" customWidth="1"/>
    <col min="13528" max="13528" width="9.33203125" style="6" bestFit="1" customWidth="1"/>
    <col min="13529" max="13530" width="8.83203125" style="6" customWidth="1"/>
    <col min="13531" max="13547" width="0" style="6" hidden="1" customWidth="1"/>
    <col min="13548" max="13548" width="9" style="6"/>
    <col min="13549" max="13549" width="9.08203125" style="6" bestFit="1" customWidth="1"/>
    <col min="13550" max="13550" width="33.25" style="6" customWidth="1"/>
    <col min="13551" max="13551" width="3.75" style="6" customWidth="1"/>
    <col min="13552" max="13780" width="9" style="6"/>
    <col min="13781" max="13781" width="3.33203125" style="6" customWidth="1"/>
    <col min="13782" max="13782" width="7.75" style="6" bestFit="1" customWidth="1"/>
    <col min="13783" max="13783" width="4.5" style="6" customWidth="1"/>
    <col min="13784" max="13784" width="9.33203125" style="6" bestFit="1" customWidth="1"/>
    <col min="13785" max="13786" width="8.83203125" style="6" customWidth="1"/>
    <col min="13787" max="13803" width="0" style="6" hidden="1" customWidth="1"/>
    <col min="13804" max="13804" width="9" style="6"/>
    <col min="13805" max="13805" width="9.08203125" style="6" bestFit="1" customWidth="1"/>
    <col min="13806" max="13806" width="33.25" style="6" customWidth="1"/>
    <col min="13807" max="13807" width="3.75" style="6" customWidth="1"/>
    <col min="13808" max="14036" width="9" style="6"/>
    <col min="14037" max="14037" width="3.33203125" style="6" customWidth="1"/>
    <col min="14038" max="14038" width="7.75" style="6" bestFit="1" customWidth="1"/>
    <col min="14039" max="14039" width="4.5" style="6" customWidth="1"/>
    <col min="14040" max="14040" width="9.33203125" style="6" bestFit="1" customWidth="1"/>
    <col min="14041" max="14042" width="8.83203125" style="6" customWidth="1"/>
    <col min="14043" max="14059" width="0" style="6" hidden="1" customWidth="1"/>
    <col min="14060" max="14060" width="9" style="6"/>
    <col min="14061" max="14061" width="9.08203125" style="6" bestFit="1" customWidth="1"/>
    <col min="14062" max="14062" width="33.25" style="6" customWidth="1"/>
    <col min="14063" max="14063" width="3.75" style="6" customWidth="1"/>
    <col min="14064" max="14292" width="9" style="6"/>
    <col min="14293" max="14293" width="3.33203125" style="6" customWidth="1"/>
    <col min="14294" max="14294" width="7.75" style="6" bestFit="1" customWidth="1"/>
    <col min="14295" max="14295" width="4.5" style="6" customWidth="1"/>
    <col min="14296" max="14296" width="9.33203125" style="6" bestFit="1" customWidth="1"/>
    <col min="14297" max="14298" width="8.83203125" style="6" customWidth="1"/>
    <col min="14299" max="14315" width="0" style="6" hidden="1" customWidth="1"/>
    <col min="14316" max="14316" width="9" style="6"/>
    <col min="14317" max="14317" width="9.08203125" style="6" bestFit="1" customWidth="1"/>
    <col min="14318" max="14318" width="33.25" style="6" customWidth="1"/>
    <col min="14319" max="14319" width="3.75" style="6" customWidth="1"/>
    <col min="14320" max="14548" width="9" style="6"/>
    <col min="14549" max="14549" width="3.33203125" style="6" customWidth="1"/>
    <col min="14550" max="14550" width="7.75" style="6" bestFit="1" customWidth="1"/>
    <col min="14551" max="14551" width="4.5" style="6" customWidth="1"/>
    <col min="14552" max="14552" width="9.33203125" style="6" bestFit="1" customWidth="1"/>
    <col min="14553" max="14554" width="8.83203125" style="6" customWidth="1"/>
    <col min="14555" max="14571" width="0" style="6" hidden="1" customWidth="1"/>
    <col min="14572" max="14572" width="9" style="6"/>
    <col min="14573" max="14573" width="9.08203125" style="6" bestFit="1" customWidth="1"/>
    <col min="14574" max="14574" width="33.25" style="6" customWidth="1"/>
    <col min="14575" max="14575" width="3.75" style="6" customWidth="1"/>
    <col min="14576" max="14804" width="9" style="6"/>
    <col min="14805" max="14805" width="3.33203125" style="6" customWidth="1"/>
    <col min="14806" max="14806" width="7.75" style="6" bestFit="1" customWidth="1"/>
    <col min="14807" max="14807" width="4.5" style="6" customWidth="1"/>
    <col min="14808" max="14808" width="9.33203125" style="6" bestFit="1" customWidth="1"/>
    <col min="14809" max="14810" width="8.83203125" style="6" customWidth="1"/>
    <col min="14811" max="14827" width="0" style="6" hidden="1" customWidth="1"/>
    <col min="14828" max="14828" width="9" style="6"/>
    <col min="14829" max="14829" width="9.08203125" style="6" bestFit="1" customWidth="1"/>
    <col min="14830" max="14830" width="33.25" style="6" customWidth="1"/>
    <col min="14831" max="14831" width="3.75" style="6" customWidth="1"/>
    <col min="14832" max="15060" width="9" style="6"/>
    <col min="15061" max="15061" width="3.33203125" style="6" customWidth="1"/>
    <col min="15062" max="15062" width="7.75" style="6" bestFit="1" customWidth="1"/>
    <col min="15063" max="15063" width="4.5" style="6" customWidth="1"/>
    <col min="15064" max="15064" width="9.33203125" style="6" bestFit="1" customWidth="1"/>
    <col min="15065" max="15066" width="8.83203125" style="6" customWidth="1"/>
    <col min="15067" max="15083" width="0" style="6" hidden="1" customWidth="1"/>
    <col min="15084" max="15084" width="9" style="6"/>
    <col min="15085" max="15085" width="9.08203125" style="6" bestFit="1" customWidth="1"/>
    <col min="15086" max="15086" width="33.25" style="6" customWidth="1"/>
    <col min="15087" max="15087" width="3.75" style="6" customWidth="1"/>
    <col min="15088" max="15316" width="9" style="6"/>
    <col min="15317" max="15317" width="3.33203125" style="6" customWidth="1"/>
    <col min="15318" max="15318" width="7.75" style="6" bestFit="1" customWidth="1"/>
    <col min="15319" max="15319" width="4.5" style="6" customWidth="1"/>
    <col min="15320" max="15320" width="9.33203125" style="6" bestFit="1" customWidth="1"/>
    <col min="15321" max="15322" width="8.83203125" style="6" customWidth="1"/>
    <col min="15323" max="15339" width="0" style="6" hidden="1" customWidth="1"/>
    <col min="15340" max="15340" width="9" style="6"/>
    <col min="15341" max="15341" width="9.08203125" style="6" bestFit="1" customWidth="1"/>
    <col min="15342" max="15342" width="33.25" style="6" customWidth="1"/>
    <col min="15343" max="15343" width="3.75" style="6" customWidth="1"/>
    <col min="15344" max="15572" width="9" style="6"/>
    <col min="15573" max="15573" width="3.33203125" style="6" customWidth="1"/>
    <col min="15574" max="15574" width="7.75" style="6" bestFit="1" customWidth="1"/>
    <col min="15575" max="15575" width="4.5" style="6" customWidth="1"/>
    <col min="15576" max="15576" width="9.33203125" style="6" bestFit="1" customWidth="1"/>
    <col min="15577" max="15578" width="8.83203125" style="6" customWidth="1"/>
    <col min="15579" max="15595" width="0" style="6" hidden="1" customWidth="1"/>
    <col min="15596" max="15596" width="9" style="6"/>
    <col min="15597" max="15597" width="9.08203125" style="6" bestFit="1" customWidth="1"/>
    <col min="15598" max="15598" width="33.25" style="6" customWidth="1"/>
    <col min="15599" max="15599" width="3.75" style="6" customWidth="1"/>
    <col min="15600" max="15828" width="9" style="6"/>
    <col min="15829" max="15829" width="3.33203125" style="6" customWidth="1"/>
    <col min="15830" max="15830" width="7.75" style="6" bestFit="1" customWidth="1"/>
    <col min="15831" max="15831" width="4.5" style="6" customWidth="1"/>
    <col min="15832" max="15832" width="9.33203125" style="6" bestFit="1" customWidth="1"/>
    <col min="15833" max="15834" width="8.83203125" style="6" customWidth="1"/>
    <col min="15835" max="15851" width="0" style="6" hidden="1" customWidth="1"/>
    <col min="15852" max="15852" width="9" style="6"/>
    <col min="15853" max="15853" width="9.08203125" style="6" bestFit="1" customWidth="1"/>
    <col min="15854" max="15854" width="33.25" style="6" customWidth="1"/>
    <col min="15855" max="15855" width="3.75" style="6" customWidth="1"/>
    <col min="15856" max="16084" width="9" style="6"/>
    <col min="16085" max="16085" width="3.33203125" style="6" customWidth="1"/>
    <col min="16086" max="16086" width="7.75" style="6" bestFit="1" customWidth="1"/>
    <col min="16087" max="16087" width="4.5" style="6" customWidth="1"/>
    <col min="16088" max="16088" width="9.33203125" style="6" bestFit="1" customWidth="1"/>
    <col min="16089" max="16090" width="8.83203125" style="6" customWidth="1"/>
    <col min="16091" max="16107" width="0" style="6" hidden="1" customWidth="1"/>
    <col min="16108" max="16108" width="9" style="6"/>
    <col min="16109" max="16109" width="9.08203125" style="6" bestFit="1" customWidth="1"/>
    <col min="16110" max="16110" width="33.25" style="6" customWidth="1"/>
    <col min="16111" max="16111" width="3.75" style="6" customWidth="1"/>
    <col min="16112" max="16384" width="9" style="6"/>
  </cols>
  <sheetData>
    <row r="1" spans="1:3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4"/>
      <c r="M1" s="4"/>
      <c r="N1" s="5" t="s">
        <v>1</v>
      </c>
      <c r="O1" s="76" t="s">
        <v>22</v>
      </c>
      <c r="P1" s="76"/>
      <c r="Q1" s="77"/>
      <c r="R1" s="60"/>
      <c r="S1" s="60"/>
      <c r="T1" s="60"/>
      <c r="U1" s="60"/>
      <c r="V1" s="56"/>
      <c r="W1" s="56"/>
      <c r="X1" s="34"/>
      <c r="Y1" s="34"/>
      <c r="Z1" s="34"/>
      <c r="AA1" s="34"/>
      <c r="AB1" s="34"/>
      <c r="AC1" s="34"/>
      <c r="AD1" s="34"/>
      <c r="AE1" s="34"/>
    </row>
    <row r="2" spans="1:31" ht="29.25" customHeight="1">
      <c r="A2" s="2"/>
      <c r="B2" s="2"/>
      <c r="C2" s="2"/>
      <c r="D2" s="2"/>
      <c r="E2" s="2"/>
      <c r="F2" s="2"/>
      <c r="G2" s="2"/>
      <c r="H2" s="2"/>
      <c r="I2" s="2"/>
      <c r="J2" s="3"/>
      <c r="K2" s="3"/>
      <c r="L2" s="4"/>
      <c r="M2" s="4"/>
      <c r="N2" s="5" t="s">
        <v>2</v>
      </c>
      <c r="O2" s="76" t="s">
        <v>66</v>
      </c>
      <c r="P2" s="76"/>
      <c r="Q2" s="77"/>
      <c r="R2" s="60"/>
      <c r="S2" s="60"/>
      <c r="T2" s="60"/>
      <c r="U2" s="60"/>
      <c r="V2" s="56"/>
      <c r="W2" s="56"/>
      <c r="X2" s="34"/>
      <c r="Y2" s="34"/>
      <c r="Z2" s="34"/>
      <c r="AA2" s="34"/>
      <c r="AB2" s="34"/>
      <c r="AC2" s="34"/>
      <c r="AD2" s="34"/>
      <c r="AE2" s="34"/>
    </row>
    <row r="3" spans="1:31" ht="8.25" customHeight="1">
      <c r="A3" s="8"/>
      <c r="B3" s="9"/>
      <c r="I3" s="11"/>
      <c r="J3" s="12"/>
      <c r="K3" s="12"/>
      <c r="L3" s="13"/>
      <c r="M3" s="13"/>
      <c r="N3" s="13"/>
      <c r="O3" s="13"/>
      <c r="P3" s="13"/>
      <c r="Q3" s="13"/>
      <c r="R3" s="60"/>
      <c r="S3" s="60"/>
      <c r="T3" s="60"/>
      <c r="U3" s="60"/>
      <c r="V3" s="56"/>
      <c r="W3" s="56"/>
      <c r="X3" s="34"/>
      <c r="Y3" s="34"/>
      <c r="Z3" s="34"/>
      <c r="AA3" s="34"/>
      <c r="AB3" s="34"/>
      <c r="AC3" s="34"/>
      <c r="AD3" s="34"/>
      <c r="AE3" s="34"/>
    </row>
    <row r="4" spans="1:31" ht="15" customHeight="1">
      <c r="A4" s="78">
        <v>46113</v>
      </c>
      <c r="B4" s="78"/>
      <c r="C4" s="14" t="s">
        <v>28</v>
      </c>
      <c r="D4" s="15"/>
      <c r="E4" s="15"/>
      <c r="F4" s="16"/>
      <c r="G4" s="11"/>
      <c r="I4" s="11"/>
      <c r="J4" s="12"/>
      <c r="K4" s="12"/>
      <c r="L4" s="17"/>
      <c r="M4" s="17"/>
      <c r="N4" s="17"/>
      <c r="O4" s="79"/>
      <c r="P4" s="81"/>
      <c r="Q4" s="81"/>
      <c r="R4" s="60"/>
      <c r="S4" s="60"/>
      <c r="T4" s="60"/>
      <c r="U4" s="60"/>
      <c r="V4" s="56"/>
      <c r="W4" s="56"/>
      <c r="X4" s="34"/>
      <c r="Y4" s="34"/>
      <c r="Z4" s="34"/>
      <c r="AA4" s="34"/>
      <c r="AB4" s="34"/>
      <c r="AC4" s="34"/>
      <c r="AD4" s="34"/>
      <c r="AE4" s="34"/>
    </row>
    <row r="5" spans="1:31" ht="19.5" customHeight="1">
      <c r="A5" s="18"/>
      <c r="I5" s="11"/>
      <c r="J5" s="12"/>
      <c r="K5" s="12"/>
      <c r="L5" s="17"/>
      <c r="M5" s="17"/>
      <c r="N5" s="17"/>
      <c r="O5" s="80"/>
      <c r="P5" s="81"/>
      <c r="Q5" s="82"/>
      <c r="R5" s="60"/>
      <c r="S5" s="60"/>
      <c r="T5" s="60"/>
      <c r="U5" s="60"/>
      <c r="V5" s="56"/>
      <c r="W5" s="56"/>
      <c r="X5" s="34"/>
      <c r="Y5" s="34"/>
      <c r="Z5" s="34"/>
      <c r="AA5" s="34"/>
      <c r="AB5" s="34"/>
      <c r="AC5" s="34"/>
      <c r="AD5" s="34"/>
      <c r="AE5" s="34"/>
    </row>
    <row r="6" spans="1:31" ht="23.25" customHeight="1">
      <c r="A6" s="83" t="s">
        <v>3</v>
      </c>
      <c r="B6" s="84" t="s">
        <v>4</v>
      </c>
      <c r="C6" s="85" t="s">
        <v>5</v>
      </c>
      <c r="D6" s="85" t="s">
        <v>6</v>
      </c>
      <c r="E6" s="86" t="s">
        <v>16</v>
      </c>
      <c r="F6" s="75" t="s">
        <v>14</v>
      </c>
      <c r="G6" s="73" t="s">
        <v>55</v>
      </c>
      <c r="H6" s="74" t="s">
        <v>51</v>
      </c>
      <c r="I6" s="88" t="s">
        <v>7</v>
      </c>
      <c r="J6" s="89" t="s">
        <v>52</v>
      </c>
      <c r="K6" s="90" t="s">
        <v>19</v>
      </c>
      <c r="L6" s="19" t="s">
        <v>8</v>
      </c>
      <c r="M6" s="92" t="s">
        <v>13</v>
      </c>
      <c r="N6" s="92"/>
      <c r="O6" s="92"/>
      <c r="P6" s="92"/>
      <c r="Q6" s="92"/>
      <c r="R6" s="60"/>
      <c r="S6" s="60"/>
      <c r="T6" s="60"/>
      <c r="U6" s="60"/>
      <c r="V6" s="56"/>
      <c r="W6" s="56"/>
      <c r="X6" s="34"/>
      <c r="Y6" s="34"/>
      <c r="Z6" s="34"/>
      <c r="AA6" s="34"/>
      <c r="AB6" s="34"/>
      <c r="AC6" s="34"/>
      <c r="AD6" s="34"/>
      <c r="AE6" s="34"/>
    </row>
    <row r="7" spans="1:31" ht="24" customHeight="1">
      <c r="A7" s="83"/>
      <c r="B7" s="84"/>
      <c r="C7" s="85"/>
      <c r="D7" s="85"/>
      <c r="E7" s="87"/>
      <c r="F7" s="75"/>
      <c r="G7" s="73"/>
      <c r="H7" s="74"/>
      <c r="I7" s="88"/>
      <c r="J7" s="89"/>
      <c r="K7" s="91"/>
      <c r="L7" s="20" t="s">
        <v>12</v>
      </c>
      <c r="M7" s="92"/>
      <c r="N7" s="92"/>
      <c r="O7" s="92"/>
      <c r="P7" s="92"/>
      <c r="Q7" s="92"/>
      <c r="R7" s="60"/>
      <c r="S7" s="60"/>
      <c r="T7" s="60"/>
      <c r="U7" s="60"/>
      <c r="V7" s="56"/>
      <c r="W7" s="56"/>
      <c r="X7" s="34"/>
      <c r="Y7" s="34"/>
      <c r="Z7" s="34"/>
      <c r="AA7" s="34"/>
      <c r="AB7" s="34"/>
      <c r="AC7" s="34"/>
      <c r="AD7" s="34"/>
      <c r="AE7" s="34"/>
    </row>
    <row r="8" spans="1:31" ht="16" customHeight="1">
      <c r="A8" s="21">
        <f>A4</f>
        <v>46113</v>
      </c>
      <c r="B8" s="22">
        <f>A8</f>
        <v>46113</v>
      </c>
      <c r="C8" s="44">
        <v>0.35416666666666669</v>
      </c>
      <c r="D8" s="45">
        <v>0.75069444444444444</v>
      </c>
      <c r="E8" s="44">
        <f t="shared" ref="E8:E38" si="0">IF(D8&lt;C8,1+D8-C8,D8-C8)</f>
        <v>0.39652777777777776</v>
      </c>
      <c r="F8" s="46">
        <f>IF(E8&lt;"6:00"*1,0,IF(E8&lt;"7:00"*1,45,IF(E8&lt;"7:45"*1,45,60)))/24/60</f>
        <v>4.1666666666666664E-2</v>
      </c>
      <c r="G8" s="47"/>
      <c r="H8" s="47"/>
      <c r="I8" s="48">
        <f t="shared" ref="I8:I38" si="1">IF((D8-C8-F8-G8)&lt;&gt;0,(D8-C8-F8-G8),"")</f>
        <v>0.35486111111111107</v>
      </c>
      <c r="J8" s="49">
        <f>IFERROR(HOUR(I8)+MINUTE(I8)/60,"")</f>
        <v>8.5166666666666675</v>
      </c>
      <c r="K8" s="49">
        <f>IFERROR(MAX(0, J8 - 8),"")</f>
        <v>0.5166666666666675</v>
      </c>
      <c r="L8" s="50"/>
      <c r="M8" s="72"/>
      <c r="N8" s="72"/>
      <c r="O8" s="72"/>
      <c r="P8" s="72"/>
      <c r="Q8" s="72"/>
      <c r="R8" s="60"/>
      <c r="S8" s="60"/>
      <c r="T8" s="69">
        <v>46023</v>
      </c>
      <c r="U8" s="69"/>
      <c r="V8" s="58" t="s">
        <v>30</v>
      </c>
      <c r="W8" s="56"/>
      <c r="X8" s="34"/>
      <c r="Y8" s="34"/>
      <c r="Z8" s="34"/>
      <c r="AA8" s="34"/>
      <c r="AB8" s="34"/>
      <c r="AC8" s="34"/>
      <c r="AD8" s="34"/>
      <c r="AE8" s="34"/>
    </row>
    <row r="9" spans="1:31" ht="16" customHeight="1">
      <c r="A9" s="21">
        <f>A8+1</f>
        <v>46114</v>
      </c>
      <c r="B9" s="22">
        <f t="shared" ref="B9:B38" si="2">A9</f>
        <v>46114</v>
      </c>
      <c r="C9" s="44">
        <v>0.35416666666666669</v>
      </c>
      <c r="D9" s="44">
        <v>0.75208333333333333</v>
      </c>
      <c r="E9" s="44">
        <f t="shared" si="0"/>
        <v>0.39791666666666664</v>
      </c>
      <c r="F9" s="46">
        <f t="shared" ref="F9:F38" si="3">IF(E9&lt;"6:00"*1,0,IF(E9&lt;"7:00"*1,45,IF(E9&lt;"7:45"*1,45,60)))/24/60</f>
        <v>4.1666666666666664E-2</v>
      </c>
      <c r="G9" s="47"/>
      <c r="H9" s="47"/>
      <c r="I9" s="48">
        <f t="shared" si="1"/>
        <v>0.35624999999999996</v>
      </c>
      <c r="J9" s="49">
        <f>IFERROR(HOUR(I9)+MINUTE(I9)/60,"")</f>
        <v>8.5500000000000007</v>
      </c>
      <c r="K9" s="49">
        <f t="shared" ref="K9:K38" si="4">IFERROR(MAX(0, J9 - 8),"")</f>
        <v>0.55000000000000071</v>
      </c>
      <c r="L9" s="51"/>
      <c r="M9" s="72"/>
      <c r="N9" s="72"/>
      <c r="O9" s="72"/>
      <c r="P9" s="72"/>
      <c r="Q9" s="72"/>
      <c r="R9" s="60"/>
      <c r="S9" s="60" t="s">
        <v>62</v>
      </c>
      <c r="T9" s="69">
        <v>46024</v>
      </c>
      <c r="U9" s="69"/>
      <c r="V9" s="58" t="s">
        <v>31</v>
      </c>
      <c r="W9" s="56"/>
      <c r="X9" s="34"/>
      <c r="Y9" s="34"/>
      <c r="Z9" s="34"/>
      <c r="AA9" s="34"/>
      <c r="AB9" s="34"/>
      <c r="AC9" s="34"/>
      <c r="AD9" s="34"/>
      <c r="AE9" s="34"/>
    </row>
    <row r="10" spans="1:31" ht="16" customHeight="1">
      <c r="A10" s="21">
        <f t="shared" ref="A10:A35" si="5">A9+1</f>
        <v>46115</v>
      </c>
      <c r="B10" s="22">
        <f t="shared" si="2"/>
        <v>46115</v>
      </c>
      <c r="C10" s="44">
        <v>0.37708333333333333</v>
      </c>
      <c r="D10" s="44">
        <v>0.75347222222222221</v>
      </c>
      <c r="E10" s="44">
        <f t="shared" si="0"/>
        <v>0.37638888888888888</v>
      </c>
      <c r="F10" s="46">
        <f t="shared" si="3"/>
        <v>4.1666666666666664E-2</v>
      </c>
      <c r="G10" s="47"/>
      <c r="H10" s="47"/>
      <c r="I10" s="48">
        <f t="shared" si="1"/>
        <v>0.3347222222222222</v>
      </c>
      <c r="J10" s="49">
        <f>IFERROR(HOUR(I10)+MINUTE(I10)/60,"")</f>
        <v>8.0333333333333332</v>
      </c>
      <c r="K10" s="49">
        <f t="shared" si="4"/>
        <v>3.3333333333333215E-2</v>
      </c>
      <c r="L10" s="51"/>
      <c r="M10" s="72" t="s">
        <v>67</v>
      </c>
      <c r="N10" s="72"/>
      <c r="O10" s="72"/>
      <c r="P10" s="72"/>
      <c r="Q10" s="72"/>
      <c r="R10" s="60"/>
      <c r="S10" s="60"/>
      <c r="T10" s="69">
        <v>46025</v>
      </c>
      <c r="U10" s="69"/>
      <c r="V10" s="58" t="s">
        <v>31</v>
      </c>
      <c r="W10" s="56"/>
      <c r="X10" s="34"/>
      <c r="Y10" s="34"/>
      <c r="Z10" s="34"/>
      <c r="AA10" s="34"/>
      <c r="AB10" s="34"/>
      <c r="AC10" s="34"/>
      <c r="AD10" s="34"/>
      <c r="AE10" s="34"/>
    </row>
    <row r="11" spans="1:31" ht="16" customHeight="1">
      <c r="A11" s="21">
        <f t="shared" si="5"/>
        <v>46116</v>
      </c>
      <c r="B11" s="22">
        <f t="shared" si="2"/>
        <v>46116</v>
      </c>
      <c r="C11" s="44"/>
      <c r="D11" s="44"/>
      <c r="E11" s="44">
        <f t="shared" si="0"/>
        <v>0</v>
      </c>
      <c r="F11" s="46">
        <f>IF(E11&lt;"6:00"*1,0,IF(E11&lt;"7:00"*1,45,IF(E11&lt;"7:45"*1,45,60)))/24/60</f>
        <v>0</v>
      </c>
      <c r="G11" s="47"/>
      <c r="H11" s="47"/>
      <c r="I11" s="48" t="str">
        <f t="shared" si="1"/>
        <v/>
      </c>
      <c r="J11" s="49" t="str">
        <f>IFERROR(HOUR(I11)+MINUTE(I11)/60,"")</f>
        <v/>
      </c>
      <c r="K11" s="49" t="str">
        <f t="shared" si="4"/>
        <v/>
      </c>
      <c r="L11" s="51"/>
      <c r="M11" s="72"/>
      <c r="N11" s="72"/>
      <c r="O11" s="72"/>
      <c r="P11" s="72"/>
      <c r="Q11" s="72"/>
      <c r="R11" s="60"/>
      <c r="S11" s="60" t="s">
        <v>63</v>
      </c>
      <c r="T11" s="69">
        <v>46034</v>
      </c>
      <c r="U11" s="69"/>
      <c r="V11" s="58" t="s">
        <v>32</v>
      </c>
      <c r="W11" s="56"/>
      <c r="X11" s="34"/>
      <c r="Y11" s="34"/>
      <c r="Z11" s="34"/>
      <c r="AA11" s="34"/>
      <c r="AB11" s="34"/>
      <c r="AC11" s="34"/>
      <c r="AD11" s="34"/>
      <c r="AE11" s="34"/>
    </row>
    <row r="12" spans="1:31" ht="16" customHeight="1">
      <c r="A12" s="21">
        <f t="shared" si="5"/>
        <v>46117</v>
      </c>
      <c r="B12" s="22">
        <f t="shared" si="2"/>
        <v>46117</v>
      </c>
      <c r="C12" s="44"/>
      <c r="D12" s="44"/>
      <c r="E12" s="44">
        <f t="shared" si="0"/>
        <v>0</v>
      </c>
      <c r="F12" s="46">
        <f t="shared" si="3"/>
        <v>0</v>
      </c>
      <c r="G12" s="47"/>
      <c r="H12" s="47"/>
      <c r="I12" s="48" t="str">
        <f t="shared" si="1"/>
        <v/>
      </c>
      <c r="J12" s="49" t="str">
        <f t="shared" ref="J12:J38" si="6">IFERROR(HOUR(I12)+MINUTE(I12)/60,"")</f>
        <v/>
      </c>
      <c r="K12" s="49" t="str">
        <f t="shared" si="4"/>
        <v/>
      </c>
      <c r="L12" s="51"/>
      <c r="M12" s="72"/>
      <c r="N12" s="72"/>
      <c r="O12" s="72"/>
      <c r="P12" s="72"/>
      <c r="Q12" s="72"/>
      <c r="R12" s="60"/>
      <c r="S12" s="60"/>
      <c r="T12" s="69">
        <v>46064</v>
      </c>
      <c r="U12" s="69"/>
      <c r="V12" s="58" t="s">
        <v>33</v>
      </c>
      <c r="W12" s="56"/>
      <c r="X12" s="34"/>
      <c r="Y12" s="34"/>
      <c r="Z12" s="34"/>
      <c r="AA12" s="34"/>
      <c r="AB12" s="34"/>
      <c r="AC12" s="34"/>
      <c r="AD12" s="34"/>
      <c r="AE12" s="34"/>
    </row>
    <row r="13" spans="1:31" ht="16" customHeight="1">
      <c r="A13" s="21">
        <f t="shared" si="5"/>
        <v>46118</v>
      </c>
      <c r="B13" s="22">
        <f t="shared" si="2"/>
        <v>46118</v>
      </c>
      <c r="C13" s="44">
        <v>0.36458333333333331</v>
      </c>
      <c r="D13" s="44">
        <v>0.75347222222222221</v>
      </c>
      <c r="E13" s="44">
        <f t="shared" si="0"/>
        <v>0.3888888888888889</v>
      </c>
      <c r="F13" s="46">
        <f t="shared" si="3"/>
        <v>4.1666666666666664E-2</v>
      </c>
      <c r="G13" s="47"/>
      <c r="H13" s="47"/>
      <c r="I13" s="48">
        <f t="shared" si="1"/>
        <v>0.34722222222222221</v>
      </c>
      <c r="J13" s="49">
        <f>IFERROR(HOUR(I13)+MINUTE(I13)/60,"")</f>
        <v>8.3333333333333339</v>
      </c>
      <c r="K13" s="49">
        <f t="shared" si="4"/>
        <v>0.33333333333333393</v>
      </c>
      <c r="L13" s="51"/>
      <c r="M13" s="72"/>
      <c r="N13" s="72"/>
      <c r="O13" s="72"/>
      <c r="P13" s="72"/>
      <c r="Q13" s="72"/>
      <c r="R13" s="60"/>
      <c r="S13" s="60"/>
      <c r="T13" s="69">
        <v>46076</v>
      </c>
      <c r="U13" s="69"/>
      <c r="V13" s="58" t="s">
        <v>34</v>
      </c>
      <c r="W13" s="56"/>
      <c r="X13" s="34"/>
      <c r="Y13" s="34"/>
      <c r="Z13" s="34"/>
      <c r="AA13" s="34"/>
      <c r="AB13" s="34"/>
      <c r="AC13" s="34"/>
      <c r="AD13" s="34"/>
      <c r="AE13" s="34"/>
    </row>
    <row r="14" spans="1:31" ht="16" customHeight="1">
      <c r="A14" s="21">
        <f t="shared" si="5"/>
        <v>46119</v>
      </c>
      <c r="B14" s="22">
        <f t="shared" si="2"/>
        <v>46119</v>
      </c>
      <c r="C14" s="44">
        <v>0.3611111111111111</v>
      </c>
      <c r="D14" s="44">
        <v>0.75138888888888888</v>
      </c>
      <c r="E14" s="44">
        <f t="shared" si="0"/>
        <v>0.39027777777777778</v>
      </c>
      <c r="F14" s="46">
        <f>IF(E14&lt;"6:00"*1,0,IF(E14&lt;"7:00"*1,45,IF(E14&lt;"7:45"*1,45,60)))/24/60</f>
        <v>4.1666666666666664E-2</v>
      </c>
      <c r="G14" s="47"/>
      <c r="H14" s="47"/>
      <c r="I14" s="48">
        <f t="shared" si="1"/>
        <v>0.34861111111111109</v>
      </c>
      <c r="J14" s="49">
        <f t="shared" si="6"/>
        <v>8.3666666666666671</v>
      </c>
      <c r="K14" s="49">
        <f t="shared" si="4"/>
        <v>0.36666666666666714</v>
      </c>
      <c r="L14" s="51"/>
      <c r="M14" s="72"/>
      <c r="N14" s="72"/>
      <c r="O14" s="72"/>
      <c r="P14" s="72"/>
      <c r="Q14" s="72"/>
      <c r="R14" s="60"/>
      <c r="S14" s="60"/>
      <c r="T14" s="69">
        <v>46101</v>
      </c>
      <c r="U14" s="69"/>
      <c r="V14" s="58" t="s">
        <v>35</v>
      </c>
      <c r="W14" s="56"/>
      <c r="X14" s="34"/>
      <c r="Y14" s="34"/>
      <c r="Z14" s="34"/>
      <c r="AA14" s="34"/>
      <c r="AB14" s="34"/>
      <c r="AC14" s="34"/>
      <c r="AD14" s="34"/>
      <c r="AE14" s="34"/>
    </row>
    <row r="15" spans="1:31" ht="16" customHeight="1">
      <c r="A15" s="21">
        <f t="shared" si="5"/>
        <v>46120</v>
      </c>
      <c r="B15" s="22">
        <f t="shared" si="2"/>
        <v>46120</v>
      </c>
      <c r="C15" s="44">
        <v>0.35416666666666669</v>
      </c>
      <c r="D15" s="44">
        <v>0.75347222222222221</v>
      </c>
      <c r="E15" s="44">
        <f t="shared" si="0"/>
        <v>0.39930555555555552</v>
      </c>
      <c r="F15" s="46">
        <f t="shared" si="3"/>
        <v>4.1666666666666664E-2</v>
      </c>
      <c r="G15" s="47"/>
      <c r="H15" s="47"/>
      <c r="I15" s="48">
        <f t="shared" si="1"/>
        <v>0.35763888888888884</v>
      </c>
      <c r="J15" s="49">
        <f t="shared" si="6"/>
        <v>8.5833333333333339</v>
      </c>
      <c r="K15" s="49">
        <f t="shared" si="4"/>
        <v>0.58333333333333393</v>
      </c>
      <c r="L15" s="51"/>
      <c r="M15" s="72"/>
      <c r="N15" s="72"/>
      <c r="O15" s="72"/>
      <c r="P15" s="72"/>
      <c r="Q15" s="72"/>
      <c r="R15" s="60"/>
      <c r="S15" s="60"/>
      <c r="T15" s="69">
        <v>46141</v>
      </c>
      <c r="U15" s="69"/>
      <c r="V15" s="58" t="s">
        <v>36</v>
      </c>
      <c r="W15" s="56"/>
      <c r="X15" s="34"/>
      <c r="Y15" s="34"/>
      <c r="Z15" s="34"/>
      <c r="AA15" s="34"/>
      <c r="AB15" s="34"/>
      <c r="AC15" s="34"/>
      <c r="AD15" s="34"/>
      <c r="AE15" s="34"/>
    </row>
    <row r="16" spans="1:31" ht="16" customHeight="1">
      <c r="A16" s="21">
        <f t="shared" si="5"/>
        <v>46121</v>
      </c>
      <c r="B16" s="22">
        <f t="shared" si="2"/>
        <v>46121</v>
      </c>
      <c r="C16" s="44">
        <v>0.3576388888888889</v>
      </c>
      <c r="D16" s="44">
        <v>0.75208333333333333</v>
      </c>
      <c r="E16" s="44">
        <f t="shared" si="0"/>
        <v>0.39444444444444443</v>
      </c>
      <c r="F16" s="46">
        <f t="shared" si="3"/>
        <v>4.1666666666666664E-2</v>
      </c>
      <c r="G16" s="47"/>
      <c r="H16" s="47"/>
      <c r="I16" s="48">
        <f t="shared" si="1"/>
        <v>0.35277777777777775</v>
      </c>
      <c r="J16" s="49">
        <f t="shared" si="6"/>
        <v>8.4666666666666668</v>
      </c>
      <c r="K16" s="49">
        <f t="shared" si="4"/>
        <v>0.46666666666666679</v>
      </c>
      <c r="L16" s="51"/>
      <c r="M16" s="72"/>
      <c r="N16" s="72"/>
      <c r="O16" s="72"/>
      <c r="P16" s="72"/>
      <c r="Q16" s="72"/>
      <c r="R16" s="60"/>
      <c r="S16" s="60"/>
      <c r="T16" s="69">
        <v>46145</v>
      </c>
      <c r="U16" s="69"/>
      <c r="V16" s="58" t="s">
        <v>37</v>
      </c>
      <c r="W16" s="56"/>
      <c r="X16" s="34"/>
      <c r="Y16" s="34"/>
      <c r="Z16" s="34"/>
      <c r="AA16" s="34"/>
      <c r="AB16" s="34"/>
      <c r="AC16" s="34"/>
      <c r="AD16" s="34"/>
      <c r="AE16" s="34"/>
    </row>
    <row r="17" spans="1:31" ht="16" customHeight="1">
      <c r="A17" s="21">
        <f t="shared" si="5"/>
        <v>46122</v>
      </c>
      <c r="B17" s="22">
        <f t="shared" si="2"/>
        <v>46122</v>
      </c>
      <c r="C17" s="44"/>
      <c r="D17" s="44"/>
      <c r="E17" s="44">
        <f t="shared" si="0"/>
        <v>0</v>
      </c>
      <c r="F17" s="46">
        <f t="shared" si="3"/>
        <v>0</v>
      </c>
      <c r="G17" s="47"/>
      <c r="H17" s="47"/>
      <c r="I17" s="48" t="str">
        <f t="shared" si="1"/>
        <v/>
      </c>
      <c r="J17" s="49" t="str">
        <f t="shared" si="6"/>
        <v/>
      </c>
      <c r="K17" s="49" t="str">
        <f t="shared" si="4"/>
        <v/>
      </c>
      <c r="L17" s="51"/>
      <c r="M17" s="72"/>
      <c r="N17" s="72"/>
      <c r="O17" s="72"/>
      <c r="P17" s="72"/>
      <c r="Q17" s="72"/>
      <c r="R17" s="60"/>
      <c r="S17" s="60"/>
      <c r="T17" s="69">
        <v>46146</v>
      </c>
      <c r="U17" s="69"/>
      <c r="V17" s="58" t="s">
        <v>38</v>
      </c>
      <c r="W17" s="56"/>
      <c r="X17" s="34"/>
      <c r="Y17" s="34"/>
      <c r="Z17" s="34"/>
      <c r="AA17" s="34"/>
      <c r="AB17" s="34"/>
      <c r="AC17" s="34"/>
      <c r="AD17" s="34"/>
      <c r="AE17" s="34"/>
    </row>
    <row r="18" spans="1:31" ht="16" customHeight="1">
      <c r="A18" s="21">
        <f t="shared" si="5"/>
        <v>46123</v>
      </c>
      <c r="B18" s="22">
        <f t="shared" si="2"/>
        <v>46123</v>
      </c>
      <c r="C18" s="45"/>
      <c r="D18" s="45"/>
      <c r="E18" s="44">
        <f t="shared" si="0"/>
        <v>0</v>
      </c>
      <c r="F18" s="46">
        <f t="shared" si="3"/>
        <v>0</v>
      </c>
      <c r="G18" s="47"/>
      <c r="H18" s="47"/>
      <c r="I18" s="48" t="str">
        <f t="shared" si="1"/>
        <v/>
      </c>
      <c r="J18" s="49" t="str">
        <f t="shared" si="6"/>
        <v/>
      </c>
      <c r="K18" s="49" t="str">
        <f t="shared" si="4"/>
        <v/>
      </c>
      <c r="L18" s="51"/>
      <c r="M18" s="72"/>
      <c r="N18" s="72"/>
      <c r="O18" s="72"/>
      <c r="P18" s="72"/>
      <c r="Q18" s="72"/>
      <c r="R18" s="60"/>
      <c r="S18" s="60"/>
      <c r="T18" s="69">
        <v>46147</v>
      </c>
      <c r="U18" s="69"/>
      <c r="V18" s="58" t="s">
        <v>39</v>
      </c>
      <c r="W18" s="56"/>
      <c r="X18" s="34"/>
      <c r="Y18" s="34"/>
      <c r="Z18" s="34"/>
      <c r="AA18" s="34"/>
      <c r="AB18" s="34"/>
      <c r="AC18" s="34"/>
      <c r="AD18" s="34"/>
      <c r="AE18" s="34"/>
    </row>
    <row r="19" spans="1:31" ht="16" customHeight="1">
      <c r="A19" s="21">
        <f t="shared" si="5"/>
        <v>46124</v>
      </c>
      <c r="B19" s="22">
        <f t="shared" si="2"/>
        <v>46124</v>
      </c>
      <c r="C19" s="45"/>
      <c r="D19" s="45"/>
      <c r="E19" s="44">
        <f t="shared" si="0"/>
        <v>0</v>
      </c>
      <c r="F19" s="46">
        <f t="shared" si="3"/>
        <v>0</v>
      </c>
      <c r="G19" s="47"/>
      <c r="H19" s="47"/>
      <c r="I19" s="48" t="str">
        <f t="shared" si="1"/>
        <v/>
      </c>
      <c r="J19" s="49" t="str">
        <f t="shared" si="6"/>
        <v/>
      </c>
      <c r="K19" s="49" t="str">
        <f t="shared" si="4"/>
        <v/>
      </c>
      <c r="L19" s="51"/>
      <c r="M19" s="72"/>
      <c r="N19" s="72"/>
      <c r="O19" s="72"/>
      <c r="P19" s="72"/>
      <c r="Q19" s="72"/>
      <c r="R19" s="60"/>
      <c r="S19" s="60"/>
      <c r="T19" s="69">
        <v>46148</v>
      </c>
      <c r="U19" s="69"/>
      <c r="V19" s="58" t="s">
        <v>40</v>
      </c>
      <c r="W19" s="56"/>
      <c r="X19" s="34"/>
      <c r="Y19" s="34"/>
      <c r="Z19" s="34"/>
      <c r="AA19" s="34"/>
      <c r="AB19" s="34"/>
      <c r="AC19" s="34"/>
      <c r="AD19" s="34"/>
      <c r="AE19" s="34"/>
    </row>
    <row r="20" spans="1:31" ht="16" customHeight="1">
      <c r="A20" s="21">
        <f t="shared" si="5"/>
        <v>46125</v>
      </c>
      <c r="B20" s="22">
        <f t="shared" si="2"/>
        <v>46125</v>
      </c>
      <c r="C20" s="45"/>
      <c r="D20" s="45"/>
      <c r="E20" s="44">
        <f t="shared" si="0"/>
        <v>0</v>
      </c>
      <c r="F20" s="46">
        <f t="shared" si="3"/>
        <v>0</v>
      </c>
      <c r="G20" s="47"/>
      <c r="H20" s="47"/>
      <c r="I20" s="48" t="str">
        <f t="shared" si="1"/>
        <v/>
      </c>
      <c r="J20" s="49" t="str">
        <f t="shared" si="6"/>
        <v/>
      </c>
      <c r="K20" s="49" t="str">
        <f t="shared" si="4"/>
        <v/>
      </c>
      <c r="L20" s="51"/>
      <c r="M20" s="72"/>
      <c r="N20" s="72"/>
      <c r="O20" s="72"/>
      <c r="P20" s="72"/>
      <c r="Q20" s="72"/>
      <c r="R20" s="60"/>
      <c r="S20" s="60"/>
      <c r="T20" s="69">
        <v>46223</v>
      </c>
      <c r="U20" s="69"/>
      <c r="V20" s="58" t="s">
        <v>41</v>
      </c>
      <c r="W20" s="56"/>
      <c r="X20" s="34"/>
      <c r="Y20" s="34"/>
      <c r="Z20" s="34"/>
      <c r="AA20" s="34"/>
      <c r="AB20" s="34"/>
      <c r="AC20" s="34"/>
      <c r="AD20" s="34"/>
      <c r="AE20" s="34"/>
    </row>
    <row r="21" spans="1:31" ht="16" customHeight="1">
      <c r="A21" s="21">
        <f t="shared" si="5"/>
        <v>46126</v>
      </c>
      <c r="B21" s="22">
        <f t="shared" si="2"/>
        <v>46126</v>
      </c>
      <c r="C21" s="45"/>
      <c r="D21" s="45"/>
      <c r="E21" s="44">
        <f t="shared" si="0"/>
        <v>0</v>
      </c>
      <c r="F21" s="46">
        <f t="shared" si="3"/>
        <v>0</v>
      </c>
      <c r="G21" s="47"/>
      <c r="H21" s="47"/>
      <c r="I21" s="48" t="str">
        <f t="shared" si="1"/>
        <v/>
      </c>
      <c r="J21" s="49" t="str">
        <f t="shared" si="6"/>
        <v/>
      </c>
      <c r="K21" s="49" t="str">
        <f t="shared" si="4"/>
        <v/>
      </c>
      <c r="L21" s="51"/>
      <c r="M21" s="72"/>
      <c r="N21" s="72"/>
      <c r="O21" s="72"/>
      <c r="P21" s="72"/>
      <c r="Q21" s="72"/>
      <c r="R21" s="60"/>
      <c r="S21" s="60"/>
      <c r="T21" s="69">
        <v>46245</v>
      </c>
      <c r="U21" s="69"/>
      <c r="V21" s="58" t="s">
        <v>42</v>
      </c>
      <c r="W21" s="56"/>
      <c r="X21" s="34"/>
      <c r="Y21" s="34"/>
      <c r="Z21" s="34"/>
      <c r="AA21" s="34"/>
      <c r="AB21" s="34"/>
      <c r="AC21" s="34"/>
      <c r="AD21" s="34"/>
      <c r="AE21" s="34"/>
    </row>
    <row r="22" spans="1:31" ht="16" customHeight="1">
      <c r="A22" s="21">
        <f t="shared" si="5"/>
        <v>46127</v>
      </c>
      <c r="B22" s="22">
        <f t="shared" si="2"/>
        <v>46127</v>
      </c>
      <c r="C22" s="45"/>
      <c r="D22" s="45"/>
      <c r="E22" s="44">
        <f t="shared" si="0"/>
        <v>0</v>
      </c>
      <c r="F22" s="46">
        <f t="shared" si="3"/>
        <v>0</v>
      </c>
      <c r="G22" s="47"/>
      <c r="H22" s="47"/>
      <c r="I22" s="48" t="str">
        <f t="shared" si="1"/>
        <v/>
      </c>
      <c r="J22" s="49" t="str">
        <f t="shared" si="6"/>
        <v/>
      </c>
      <c r="K22" s="49" t="str">
        <f t="shared" si="4"/>
        <v/>
      </c>
      <c r="L22" s="51"/>
      <c r="M22" s="72"/>
      <c r="N22" s="72"/>
      <c r="O22" s="72"/>
      <c r="P22" s="72"/>
      <c r="Q22" s="72"/>
      <c r="R22" s="60"/>
      <c r="S22" s="60"/>
      <c r="T22" s="69">
        <v>46286</v>
      </c>
      <c r="U22" s="69"/>
      <c r="V22" s="58" t="s">
        <v>43</v>
      </c>
      <c r="W22" s="56"/>
      <c r="X22" s="34"/>
      <c r="Y22" s="34"/>
      <c r="Z22" s="34"/>
      <c r="AA22" s="34"/>
      <c r="AB22" s="34"/>
      <c r="AC22" s="34"/>
      <c r="AD22" s="34"/>
      <c r="AE22" s="34"/>
    </row>
    <row r="23" spans="1:31" ht="16" customHeight="1">
      <c r="A23" s="21">
        <f t="shared" si="5"/>
        <v>46128</v>
      </c>
      <c r="B23" s="22">
        <f t="shared" si="2"/>
        <v>46128</v>
      </c>
      <c r="C23" s="44"/>
      <c r="D23" s="44"/>
      <c r="E23" s="44">
        <f t="shared" si="0"/>
        <v>0</v>
      </c>
      <c r="F23" s="46">
        <f t="shared" si="3"/>
        <v>0</v>
      </c>
      <c r="G23" s="47"/>
      <c r="H23" s="47"/>
      <c r="I23" s="48" t="str">
        <f t="shared" si="1"/>
        <v/>
      </c>
      <c r="J23" s="49" t="str">
        <f t="shared" si="6"/>
        <v/>
      </c>
      <c r="K23" s="49" t="str">
        <f t="shared" si="4"/>
        <v/>
      </c>
      <c r="L23" s="51"/>
      <c r="M23" s="72"/>
      <c r="N23" s="72"/>
      <c r="O23" s="72"/>
      <c r="P23" s="72"/>
      <c r="Q23" s="72"/>
      <c r="R23" s="60"/>
      <c r="S23" s="60"/>
      <c r="T23" s="69">
        <v>46287</v>
      </c>
      <c r="U23" s="69"/>
      <c r="V23" s="58" t="s">
        <v>44</v>
      </c>
      <c r="W23" s="56"/>
      <c r="X23" s="34"/>
      <c r="Y23" s="34"/>
      <c r="Z23" s="34"/>
      <c r="AA23" s="34"/>
      <c r="AB23" s="34"/>
      <c r="AC23" s="34"/>
      <c r="AD23" s="34"/>
      <c r="AE23" s="34"/>
    </row>
    <row r="24" spans="1:31" ht="16" customHeight="1">
      <c r="A24" s="21">
        <f t="shared" si="5"/>
        <v>46129</v>
      </c>
      <c r="B24" s="22">
        <f t="shared" si="2"/>
        <v>46129</v>
      </c>
      <c r="C24" s="44"/>
      <c r="D24" s="44"/>
      <c r="E24" s="44">
        <f t="shared" si="0"/>
        <v>0</v>
      </c>
      <c r="F24" s="46">
        <f t="shared" si="3"/>
        <v>0</v>
      </c>
      <c r="G24" s="47"/>
      <c r="H24" s="47"/>
      <c r="I24" s="48" t="str">
        <f t="shared" si="1"/>
        <v/>
      </c>
      <c r="J24" s="49" t="str">
        <f>IFERROR(HOUR(I24)+MINUTE(I24)/60,"")</f>
        <v/>
      </c>
      <c r="K24" s="49" t="str">
        <f>IFERROR(MAX(0, J24 - 8),"")</f>
        <v/>
      </c>
      <c r="L24" s="51"/>
      <c r="M24" s="72"/>
      <c r="N24" s="72"/>
      <c r="O24" s="72"/>
      <c r="P24" s="72"/>
      <c r="Q24" s="72"/>
      <c r="R24" s="60"/>
      <c r="S24" s="60"/>
      <c r="T24" s="69">
        <v>46288</v>
      </c>
      <c r="U24" s="69"/>
      <c r="V24" s="58" t="s">
        <v>45</v>
      </c>
      <c r="W24" s="56"/>
      <c r="X24" s="34"/>
      <c r="Y24" s="34"/>
      <c r="Z24" s="34"/>
      <c r="AA24" s="34"/>
      <c r="AB24" s="34"/>
      <c r="AC24" s="34"/>
      <c r="AD24" s="34"/>
      <c r="AE24" s="34"/>
    </row>
    <row r="25" spans="1:31" ht="16" customHeight="1">
      <c r="A25" s="21">
        <f t="shared" si="5"/>
        <v>46130</v>
      </c>
      <c r="B25" s="22">
        <f t="shared" si="2"/>
        <v>46130</v>
      </c>
      <c r="C25" s="44"/>
      <c r="D25" s="44"/>
      <c r="E25" s="44">
        <f t="shared" si="0"/>
        <v>0</v>
      </c>
      <c r="F25" s="46">
        <f t="shared" si="3"/>
        <v>0</v>
      </c>
      <c r="G25" s="47"/>
      <c r="H25" s="47"/>
      <c r="I25" s="48" t="str">
        <f t="shared" si="1"/>
        <v/>
      </c>
      <c r="J25" s="49" t="str">
        <f>IFERROR(HOUR(I25)+MINUTE(I25)/60,"")</f>
        <v/>
      </c>
      <c r="K25" s="49" t="str">
        <f t="shared" si="4"/>
        <v/>
      </c>
      <c r="L25" s="51"/>
      <c r="M25" s="72"/>
      <c r="N25" s="72"/>
      <c r="O25" s="72"/>
      <c r="P25" s="72"/>
      <c r="Q25" s="72"/>
      <c r="R25" s="60"/>
      <c r="S25" s="60"/>
      <c r="T25" s="69">
        <v>46307</v>
      </c>
      <c r="U25" s="69"/>
      <c r="V25" s="58" t="s">
        <v>46</v>
      </c>
      <c r="W25" s="56"/>
      <c r="X25" s="34"/>
      <c r="Y25" s="34"/>
      <c r="Z25" s="34"/>
      <c r="AA25" s="34"/>
      <c r="AB25" s="34"/>
      <c r="AC25" s="34"/>
      <c r="AD25" s="34"/>
      <c r="AE25" s="34"/>
    </row>
    <row r="26" spans="1:31" ht="16" customHeight="1">
      <c r="A26" s="21">
        <f t="shared" si="5"/>
        <v>46131</v>
      </c>
      <c r="B26" s="22">
        <f t="shared" si="2"/>
        <v>46131</v>
      </c>
      <c r="C26" s="44"/>
      <c r="D26" s="44"/>
      <c r="E26" s="44">
        <f t="shared" si="0"/>
        <v>0</v>
      </c>
      <c r="F26" s="46">
        <f t="shared" si="3"/>
        <v>0</v>
      </c>
      <c r="G26" s="47"/>
      <c r="H26" s="47"/>
      <c r="I26" s="48" t="str">
        <f t="shared" si="1"/>
        <v/>
      </c>
      <c r="J26" s="49" t="str">
        <f t="shared" si="6"/>
        <v/>
      </c>
      <c r="K26" s="49" t="str">
        <f t="shared" si="4"/>
        <v/>
      </c>
      <c r="L26" s="51"/>
      <c r="M26" s="72"/>
      <c r="N26" s="72"/>
      <c r="O26" s="72"/>
      <c r="P26" s="72"/>
      <c r="Q26" s="72"/>
      <c r="R26" s="60"/>
      <c r="S26" s="60"/>
      <c r="T26" s="69">
        <v>46329</v>
      </c>
      <c r="U26" s="69"/>
      <c r="V26" s="58" t="s">
        <v>47</v>
      </c>
      <c r="W26" s="56"/>
      <c r="X26" s="34"/>
      <c r="Y26" s="34"/>
      <c r="Z26" s="34"/>
      <c r="AA26" s="34"/>
      <c r="AB26" s="34"/>
      <c r="AC26" s="34"/>
      <c r="AD26" s="34"/>
      <c r="AE26" s="34"/>
    </row>
    <row r="27" spans="1:31" ht="16" customHeight="1">
      <c r="A27" s="21">
        <f>A26+1</f>
        <v>46132</v>
      </c>
      <c r="B27" s="22">
        <f t="shared" si="2"/>
        <v>46132</v>
      </c>
      <c r="C27" s="44"/>
      <c r="D27" s="44"/>
      <c r="E27" s="44">
        <f t="shared" si="0"/>
        <v>0</v>
      </c>
      <c r="F27" s="46">
        <f t="shared" si="3"/>
        <v>0</v>
      </c>
      <c r="G27" s="47"/>
      <c r="H27" s="47"/>
      <c r="I27" s="48" t="str">
        <f t="shared" si="1"/>
        <v/>
      </c>
      <c r="J27" s="49" t="str">
        <f>IFERROR(HOUR(I27)+MINUTE(I27)/60,"")</f>
        <v/>
      </c>
      <c r="K27" s="49" t="str">
        <f t="shared" si="4"/>
        <v/>
      </c>
      <c r="L27" s="51"/>
      <c r="M27" s="72"/>
      <c r="N27" s="72"/>
      <c r="O27" s="72"/>
      <c r="P27" s="72"/>
      <c r="Q27" s="72"/>
      <c r="R27" s="60"/>
      <c r="S27" s="60"/>
      <c r="T27" s="69">
        <v>46349</v>
      </c>
      <c r="U27" s="69"/>
      <c r="V27" s="58" t="s">
        <v>31</v>
      </c>
      <c r="W27" s="56"/>
      <c r="X27" s="34"/>
      <c r="Y27" s="34"/>
      <c r="Z27" s="34"/>
      <c r="AA27" s="34"/>
      <c r="AB27" s="34"/>
      <c r="AC27" s="34"/>
      <c r="AD27" s="34"/>
      <c r="AE27" s="34"/>
    </row>
    <row r="28" spans="1:31" ht="16" customHeight="1">
      <c r="A28" s="21">
        <f t="shared" si="5"/>
        <v>46133</v>
      </c>
      <c r="B28" s="22">
        <f t="shared" si="2"/>
        <v>46133</v>
      </c>
      <c r="C28" s="44"/>
      <c r="D28" s="44"/>
      <c r="E28" s="44">
        <f t="shared" si="0"/>
        <v>0</v>
      </c>
      <c r="F28" s="46">
        <f t="shared" si="3"/>
        <v>0</v>
      </c>
      <c r="G28" s="47"/>
      <c r="H28" s="47"/>
      <c r="I28" s="48" t="str">
        <f t="shared" si="1"/>
        <v/>
      </c>
      <c r="J28" s="49" t="str">
        <f t="shared" si="6"/>
        <v/>
      </c>
      <c r="K28" s="49" t="str">
        <f t="shared" si="4"/>
        <v/>
      </c>
      <c r="L28" s="51"/>
      <c r="M28" s="72"/>
      <c r="N28" s="72"/>
      <c r="O28" s="72"/>
      <c r="P28" s="72"/>
      <c r="Q28" s="72"/>
      <c r="R28" s="60"/>
      <c r="S28" s="60"/>
      <c r="T28" s="69">
        <v>46384</v>
      </c>
      <c r="U28" s="69"/>
      <c r="V28" s="58" t="s">
        <v>31</v>
      </c>
      <c r="W28" s="56"/>
      <c r="X28" s="34"/>
      <c r="Y28" s="34"/>
      <c r="Z28" s="34"/>
      <c r="AA28" s="34"/>
      <c r="AB28" s="34"/>
      <c r="AC28" s="34"/>
      <c r="AD28" s="34"/>
      <c r="AE28" s="34"/>
    </row>
    <row r="29" spans="1:31" ht="16" customHeight="1">
      <c r="A29" s="21">
        <f t="shared" si="5"/>
        <v>46134</v>
      </c>
      <c r="B29" s="22">
        <f t="shared" si="2"/>
        <v>46134</v>
      </c>
      <c r="C29" s="44"/>
      <c r="D29" s="44"/>
      <c r="E29" s="44">
        <f t="shared" si="0"/>
        <v>0</v>
      </c>
      <c r="F29" s="46">
        <f t="shared" si="3"/>
        <v>0</v>
      </c>
      <c r="G29" s="47"/>
      <c r="H29" s="47"/>
      <c r="I29" s="48" t="str">
        <f t="shared" si="1"/>
        <v/>
      </c>
      <c r="J29" s="49" t="str">
        <f>IFERROR(HOUR(I29)+MINUTE(I29)/60,"")</f>
        <v/>
      </c>
      <c r="K29" s="49" t="str">
        <f t="shared" si="4"/>
        <v/>
      </c>
      <c r="L29" s="51"/>
      <c r="M29" s="72"/>
      <c r="N29" s="72"/>
      <c r="O29" s="72"/>
      <c r="P29" s="72"/>
      <c r="Q29" s="72"/>
      <c r="R29" s="60"/>
      <c r="S29" s="60"/>
      <c r="T29" s="69">
        <v>46385</v>
      </c>
      <c r="U29" s="69"/>
      <c r="V29" s="58" t="s">
        <v>31</v>
      </c>
      <c r="W29" s="56"/>
      <c r="X29" s="34"/>
      <c r="Y29" s="34"/>
      <c r="Z29" s="34"/>
      <c r="AA29" s="34"/>
      <c r="AB29" s="34"/>
      <c r="AC29" s="34"/>
      <c r="AD29" s="34"/>
      <c r="AE29" s="34"/>
    </row>
    <row r="30" spans="1:31" ht="16" customHeight="1">
      <c r="A30" s="21">
        <f t="shared" si="5"/>
        <v>46135</v>
      </c>
      <c r="B30" s="22">
        <f t="shared" si="2"/>
        <v>46135</v>
      </c>
      <c r="C30" s="44"/>
      <c r="D30" s="44"/>
      <c r="E30" s="44">
        <f>IF(D30&lt;C30,1+D30-C30,D30-C30)</f>
        <v>0</v>
      </c>
      <c r="F30" s="46">
        <f>IF(E30&lt;"6:00"*1,0,IF(E30&lt;"7:00"*1,45,IF(E30&lt;"7:45"*1,45,60)))/24/60</f>
        <v>0</v>
      </c>
      <c r="G30" s="47"/>
      <c r="H30" s="47"/>
      <c r="I30" s="48" t="str">
        <f t="shared" si="1"/>
        <v/>
      </c>
      <c r="J30" s="49" t="str">
        <f t="shared" si="6"/>
        <v/>
      </c>
      <c r="K30" s="49" t="str">
        <f t="shared" si="4"/>
        <v/>
      </c>
      <c r="L30" s="51"/>
      <c r="M30" s="72"/>
      <c r="N30" s="72"/>
      <c r="O30" s="72"/>
      <c r="P30" s="72"/>
      <c r="Q30" s="72"/>
      <c r="R30" s="60"/>
      <c r="S30" s="60"/>
      <c r="T30" s="69">
        <v>46386</v>
      </c>
      <c r="U30" s="60"/>
      <c r="V30" s="56"/>
      <c r="W30" s="56"/>
      <c r="X30" s="34"/>
      <c r="Y30" s="34"/>
      <c r="Z30" s="34"/>
      <c r="AA30" s="34"/>
      <c r="AB30" s="34"/>
      <c r="AC30" s="34"/>
      <c r="AD30" s="34"/>
      <c r="AE30" s="34"/>
    </row>
    <row r="31" spans="1:31" ht="16" customHeight="1">
      <c r="A31" s="21">
        <f t="shared" si="5"/>
        <v>46136</v>
      </c>
      <c r="B31" s="22">
        <f t="shared" si="2"/>
        <v>46136</v>
      </c>
      <c r="C31" s="44"/>
      <c r="D31" s="44"/>
      <c r="E31" s="44">
        <f t="shared" si="0"/>
        <v>0</v>
      </c>
      <c r="F31" s="46">
        <f t="shared" si="3"/>
        <v>0</v>
      </c>
      <c r="G31" s="47"/>
      <c r="H31" s="47"/>
      <c r="I31" s="48" t="str">
        <f t="shared" si="1"/>
        <v/>
      </c>
      <c r="J31" s="49" t="str">
        <f t="shared" si="6"/>
        <v/>
      </c>
      <c r="K31" s="49" t="str">
        <f t="shared" si="4"/>
        <v/>
      </c>
      <c r="L31" s="51"/>
      <c r="M31" s="72"/>
      <c r="N31" s="72"/>
      <c r="O31" s="72"/>
      <c r="P31" s="72"/>
      <c r="Q31" s="72"/>
      <c r="R31" s="60"/>
      <c r="S31" s="60"/>
      <c r="T31" s="69">
        <v>46387</v>
      </c>
      <c r="U31" s="60"/>
      <c r="V31" s="56"/>
      <c r="W31" s="56"/>
      <c r="X31" s="34"/>
      <c r="Y31" s="34"/>
      <c r="Z31" s="34"/>
      <c r="AA31" s="34"/>
      <c r="AB31" s="34"/>
      <c r="AC31" s="34"/>
      <c r="AD31" s="34"/>
      <c r="AE31" s="34"/>
    </row>
    <row r="32" spans="1:31" ht="16" customHeight="1">
      <c r="A32" s="21">
        <f t="shared" si="5"/>
        <v>46137</v>
      </c>
      <c r="B32" s="22">
        <f>A32</f>
        <v>46137</v>
      </c>
      <c r="C32" s="44"/>
      <c r="D32" s="44"/>
      <c r="E32" s="44">
        <f t="shared" si="0"/>
        <v>0</v>
      </c>
      <c r="F32" s="46">
        <f t="shared" si="3"/>
        <v>0</v>
      </c>
      <c r="G32" s="47"/>
      <c r="H32" s="47"/>
      <c r="I32" s="48" t="str">
        <f t="shared" si="1"/>
        <v/>
      </c>
      <c r="J32" s="49" t="str">
        <f t="shared" si="6"/>
        <v/>
      </c>
      <c r="K32" s="49" t="str">
        <f t="shared" si="4"/>
        <v/>
      </c>
      <c r="L32" s="51"/>
      <c r="M32" s="72"/>
      <c r="N32" s="72"/>
      <c r="O32" s="72"/>
      <c r="P32" s="72"/>
      <c r="Q32" s="72"/>
      <c r="R32" s="60"/>
      <c r="S32" s="60"/>
      <c r="T32" s="69">
        <v>46388</v>
      </c>
      <c r="U32" s="60"/>
      <c r="V32" s="56"/>
      <c r="W32" s="56"/>
      <c r="X32" s="34"/>
      <c r="Y32" s="34"/>
      <c r="Z32" s="34"/>
      <c r="AA32" s="34"/>
      <c r="AB32" s="34"/>
      <c r="AC32" s="34"/>
      <c r="AD32" s="34"/>
      <c r="AE32" s="34"/>
    </row>
    <row r="33" spans="1:31" ht="16" customHeight="1">
      <c r="A33" s="21">
        <f t="shared" si="5"/>
        <v>46138</v>
      </c>
      <c r="B33" s="22">
        <f t="shared" si="2"/>
        <v>46138</v>
      </c>
      <c r="C33" s="44"/>
      <c r="D33" s="44"/>
      <c r="E33" s="44">
        <f t="shared" si="0"/>
        <v>0</v>
      </c>
      <c r="F33" s="46">
        <f t="shared" si="3"/>
        <v>0</v>
      </c>
      <c r="G33" s="47"/>
      <c r="H33" s="47"/>
      <c r="I33" s="48" t="str">
        <f t="shared" si="1"/>
        <v/>
      </c>
      <c r="J33" s="49" t="str">
        <f>IFERROR(HOUR(I33)+MINUTE(I33)/60,"")</f>
        <v/>
      </c>
      <c r="K33" s="49" t="str">
        <f t="shared" si="4"/>
        <v/>
      </c>
      <c r="L33" s="51"/>
      <c r="M33" s="72"/>
      <c r="N33" s="72"/>
      <c r="O33" s="72"/>
      <c r="P33" s="72"/>
      <c r="Q33" s="72"/>
      <c r="R33" s="60"/>
      <c r="S33" s="60"/>
      <c r="T33" s="71">
        <v>46389</v>
      </c>
      <c r="U33" s="60"/>
      <c r="V33" s="56"/>
      <c r="W33" s="56"/>
      <c r="X33" s="34"/>
      <c r="Y33" s="34"/>
      <c r="Z33" s="34"/>
      <c r="AA33" s="34"/>
      <c r="AB33" s="34"/>
      <c r="AC33" s="34"/>
      <c r="AD33" s="34"/>
      <c r="AE33" s="34"/>
    </row>
    <row r="34" spans="1:31" ht="16" customHeight="1">
      <c r="A34" s="21">
        <f t="shared" si="5"/>
        <v>46139</v>
      </c>
      <c r="B34" s="22">
        <f t="shared" si="2"/>
        <v>46139</v>
      </c>
      <c r="C34" s="44"/>
      <c r="D34" s="44"/>
      <c r="E34" s="44">
        <f t="shared" si="0"/>
        <v>0</v>
      </c>
      <c r="F34" s="46">
        <f t="shared" si="3"/>
        <v>0</v>
      </c>
      <c r="G34" s="47"/>
      <c r="H34" s="47"/>
      <c r="I34" s="48" t="str">
        <f t="shared" si="1"/>
        <v/>
      </c>
      <c r="J34" s="49" t="str">
        <f t="shared" si="6"/>
        <v/>
      </c>
      <c r="K34" s="49" t="str">
        <f t="shared" si="4"/>
        <v/>
      </c>
      <c r="L34" s="51"/>
      <c r="M34" s="72"/>
      <c r="N34" s="72"/>
      <c r="O34" s="72"/>
      <c r="P34" s="72"/>
      <c r="Q34" s="72"/>
      <c r="R34" s="60"/>
      <c r="S34" s="60"/>
      <c r="T34" s="71">
        <v>46390</v>
      </c>
      <c r="U34" s="60"/>
      <c r="V34" s="56"/>
      <c r="W34" s="56"/>
      <c r="X34" s="34"/>
      <c r="Y34" s="34"/>
      <c r="Z34" s="34"/>
      <c r="AA34" s="34"/>
      <c r="AB34" s="34"/>
      <c r="AC34" s="34"/>
      <c r="AD34" s="34"/>
      <c r="AE34" s="34"/>
    </row>
    <row r="35" spans="1:31" ht="16" customHeight="1">
      <c r="A35" s="21">
        <f t="shared" si="5"/>
        <v>46140</v>
      </c>
      <c r="B35" s="22">
        <f t="shared" si="2"/>
        <v>46140</v>
      </c>
      <c r="C35" s="44"/>
      <c r="D35" s="44"/>
      <c r="E35" s="44">
        <f t="shared" si="0"/>
        <v>0</v>
      </c>
      <c r="F35" s="46">
        <f t="shared" si="3"/>
        <v>0</v>
      </c>
      <c r="G35" s="47"/>
      <c r="H35" s="47"/>
      <c r="I35" s="48" t="str">
        <f t="shared" si="1"/>
        <v/>
      </c>
      <c r="J35" s="49" t="str">
        <f t="shared" si="6"/>
        <v/>
      </c>
      <c r="K35" s="49" t="str">
        <f t="shared" si="4"/>
        <v/>
      </c>
      <c r="L35" s="51"/>
      <c r="M35" s="111"/>
      <c r="N35" s="112"/>
      <c r="O35" s="112"/>
      <c r="P35" s="112"/>
      <c r="Q35" s="113"/>
      <c r="R35" s="60"/>
      <c r="S35" s="60"/>
      <c r="T35" s="71">
        <v>46398</v>
      </c>
      <c r="U35" s="60"/>
      <c r="V35" s="56"/>
      <c r="W35" s="56"/>
      <c r="X35" s="34"/>
      <c r="Y35" s="34"/>
      <c r="Z35" s="34"/>
      <c r="AA35" s="34"/>
      <c r="AB35" s="34"/>
      <c r="AC35" s="34"/>
      <c r="AD35" s="34"/>
      <c r="AE35" s="34"/>
    </row>
    <row r="36" spans="1:31" ht="16" customHeight="1">
      <c r="A36" s="36">
        <f>IF(MONTH($A$4)=MONTH(A35+1),A35+1,"")</f>
        <v>46141</v>
      </c>
      <c r="B36" s="22">
        <f t="shared" si="2"/>
        <v>46141</v>
      </c>
      <c r="C36" s="44"/>
      <c r="D36" s="44"/>
      <c r="E36" s="44">
        <f t="shared" si="0"/>
        <v>0</v>
      </c>
      <c r="F36" s="46">
        <f t="shared" si="3"/>
        <v>0</v>
      </c>
      <c r="G36" s="47"/>
      <c r="H36" s="47"/>
      <c r="I36" s="48" t="str">
        <f t="shared" si="1"/>
        <v/>
      </c>
      <c r="J36" s="49" t="str">
        <f t="shared" si="6"/>
        <v/>
      </c>
      <c r="K36" s="49" t="str">
        <f t="shared" si="4"/>
        <v/>
      </c>
      <c r="L36" s="51"/>
      <c r="M36" s="72"/>
      <c r="N36" s="72"/>
      <c r="O36" s="72"/>
      <c r="P36" s="72"/>
      <c r="Q36" s="72"/>
      <c r="R36" s="60"/>
      <c r="S36" s="60"/>
      <c r="T36" s="60"/>
      <c r="U36" s="60"/>
      <c r="V36" s="56"/>
      <c r="W36" s="56"/>
      <c r="X36" s="34"/>
      <c r="Y36" s="34"/>
      <c r="Z36" s="34"/>
      <c r="AA36" s="34"/>
      <c r="AB36" s="34"/>
      <c r="AC36" s="34"/>
      <c r="AD36" s="34"/>
      <c r="AE36" s="34"/>
    </row>
    <row r="37" spans="1:31" ht="16" customHeight="1">
      <c r="A37" s="36">
        <f>IF(MONTH($A$4)=MONTH(A35+2),A35+2,"")</f>
        <v>46142</v>
      </c>
      <c r="B37" s="22">
        <f t="shared" si="2"/>
        <v>46142</v>
      </c>
      <c r="C37" s="44"/>
      <c r="D37" s="44"/>
      <c r="E37" s="44">
        <f t="shared" si="0"/>
        <v>0</v>
      </c>
      <c r="F37" s="46">
        <f t="shared" si="3"/>
        <v>0</v>
      </c>
      <c r="G37" s="47"/>
      <c r="H37" s="47"/>
      <c r="I37" s="48" t="str">
        <f t="shared" si="1"/>
        <v/>
      </c>
      <c r="J37" s="49" t="str">
        <f>IFERROR(HOUR(I37)+MINUTE(I37)/60,"")</f>
        <v/>
      </c>
      <c r="K37" s="49" t="str">
        <f t="shared" si="4"/>
        <v/>
      </c>
      <c r="L37" s="51"/>
      <c r="M37" s="72"/>
      <c r="N37" s="72"/>
      <c r="O37" s="72"/>
      <c r="P37" s="72"/>
      <c r="Q37" s="72"/>
      <c r="R37" s="60"/>
      <c r="S37" s="60"/>
      <c r="T37" s="60"/>
      <c r="U37" s="60"/>
      <c r="V37" s="56"/>
      <c r="W37" s="56"/>
      <c r="X37" s="34"/>
      <c r="Y37" s="34"/>
      <c r="Z37" s="34"/>
      <c r="AA37" s="34"/>
      <c r="AB37" s="34"/>
      <c r="AC37" s="34"/>
      <c r="AD37" s="34"/>
      <c r="AE37" s="34"/>
    </row>
    <row r="38" spans="1:31" ht="16" customHeight="1">
      <c r="A38" s="36" t="str">
        <f>IF(MONTH($A$4)=MONTH(A35+3),A35+3,"")</f>
        <v/>
      </c>
      <c r="B38" s="22" t="str">
        <f t="shared" si="2"/>
        <v/>
      </c>
      <c r="C38" s="44"/>
      <c r="D38" s="44"/>
      <c r="E38" s="44">
        <f t="shared" si="0"/>
        <v>0</v>
      </c>
      <c r="F38" s="46">
        <f t="shared" si="3"/>
        <v>0</v>
      </c>
      <c r="G38" s="47"/>
      <c r="H38" s="47"/>
      <c r="I38" s="48" t="str">
        <f t="shared" si="1"/>
        <v/>
      </c>
      <c r="J38" s="49" t="str">
        <f t="shared" si="6"/>
        <v/>
      </c>
      <c r="K38" s="49" t="str">
        <f t="shared" si="4"/>
        <v/>
      </c>
      <c r="L38" s="51"/>
      <c r="M38" s="72"/>
      <c r="N38" s="72"/>
      <c r="O38" s="72"/>
      <c r="P38" s="72"/>
      <c r="Q38" s="72"/>
      <c r="R38" s="60"/>
      <c r="S38" s="60"/>
      <c r="T38" s="60"/>
      <c r="U38" s="60"/>
      <c r="V38" s="56"/>
      <c r="W38" s="56"/>
      <c r="X38" s="34"/>
      <c r="Y38" s="34"/>
      <c r="Z38" s="34"/>
      <c r="AA38" s="34"/>
      <c r="AB38" s="34"/>
      <c r="AC38" s="34"/>
      <c r="AD38" s="34"/>
      <c r="AE38" s="34"/>
    </row>
    <row r="39" spans="1:31" s="23" customFormat="1">
      <c r="A39" s="93" t="s">
        <v>9</v>
      </c>
      <c r="B39" s="93"/>
      <c r="D39" s="24"/>
      <c r="E39" s="24"/>
      <c r="G39" s="25">
        <f>SUM(G8:G38)</f>
        <v>0</v>
      </c>
      <c r="H39" s="25">
        <f>SUM(H8:H38)</f>
        <v>0</v>
      </c>
      <c r="I39" s="26"/>
      <c r="J39" s="26"/>
      <c r="K39" s="26"/>
      <c r="O39" s="27"/>
      <c r="P39" s="27"/>
      <c r="Q39" s="27"/>
      <c r="R39" s="61"/>
      <c r="S39" s="61"/>
      <c r="T39" s="61"/>
      <c r="U39" s="61"/>
      <c r="V39" s="67"/>
      <c r="W39" s="67"/>
      <c r="X39" s="39"/>
      <c r="Y39" s="39"/>
      <c r="Z39" s="39"/>
      <c r="AA39" s="39"/>
      <c r="AB39" s="39"/>
      <c r="AC39" s="39"/>
      <c r="AD39" s="39"/>
      <c r="AE39" s="39"/>
    </row>
    <row r="40" spans="1:31" s="23" customFormat="1" ht="23.25" customHeight="1">
      <c r="A40" s="94" t="s">
        <v>48</v>
      </c>
      <c r="B40" s="94"/>
      <c r="C40" s="28">
        <f>COUNTA(D8:D38)</f>
        <v>7</v>
      </c>
      <c r="D40" s="95" t="s">
        <v>29</v>
      </c>
      <c r="E40" s="96"/>
      <c r="F40" s="97"/>
      <c r="G40" s="29">
        <f>SUM(J8:J38)</f>
        <v>58.850000000000009</v>
      </c>
      <c r="H40" s="102" t="s">
        <v>20</v>
      </c>
      <c r="I40" s="103"/>
      <c r="J40" s="104"/>
      <c r="K40" s="30">
        <f>SUM(K8:K38)</f>
        <v>2.8500000000000032</v>
      </c>
      <c r="L40" s="105" t="s">
        <v>57</v>
      </c>
      <c r="M40" s="106"/>
      <c r="N40" s="30">
        <f>MAX(0, K40-10)</f>
        <v>0</v>
      </c>
      <c r="O40" s="107" t="s">
        <v>15</v>
      </c>
      <c r="P40" s="108"/>
      <c r="Q40" s="31">
        <f>COUNTIF(L8:L38, "在宅")</f>
        <v>0</v>
      </c>
      <c r="R40" s="62"/>
      <c r="S40" s="61"/>
      <c r="T40" s="61"/>
      <c r="U40" s="61"/>
      <c r="V40" s="67"/>
      <c r="W40" s="67"/>
      <c r="X40" s="39"/>
      <c r="Y40" s="39"/>
      <c r="Z40" s="39"/>
      <c r="AA40" s="39"/>
      <c r="AB40" s="39"/>
      <c r="AC40" s="39"/>
      <c r="AD40" s="39"/>
      <c r="AE40" s="39"/>
    </row>
    <row r="41" spans="1:31" s="23" customFormat="1" ht="21.75" customHeight="1">
      <c r="A41" s="94" t="s">
        <v>49</v>
      </c>
      <c r="B41" s="94"/>
      <c r="C41" s="28" cm="1">
        <f t="array" ref="C41">NETWORKDAYS(DATE(YEAR(A4),MONTH(A4),1),EOMONTH(A4,0),$T$3:$T$38)-SUMPRODUCT(COUNTIF(M8:M38,{"メモリアル休暇","客先休業"}))</f>
        <v>21</v>
      </c>
      <c r="D41" s="95" t="s">
        <v>50</v>
      </c>
      <c r="E41" s="96"/>
      <c r="F41" s="97"/>
      <c r="G41" s="32">
        <f>C41*8</f>
        <v>168</v>
      </c>
      <c r="H41" s="98" t="s">
        <v>54</v>
      </c>
      <c r="I41" s="99"/>
      <c r="J41" s="100"/>
      <c r="K41" s="30">
        <f>MAX(0, G41-G40)</f>
        <v>109.14999999999999</v>
      </c>
      <c r="L41" s="101" t="s">
        <v>53</v>
      </c>
      <c r="M41" s="101"/>
      <c r="N41" s="37">
        <f>H39*24</f>
        <v>0</v>
      </c>
      <c r="O41" s="109" t="s">
        <v>56</v>
      </c>
      <c r="P41" s="110"/>
      <c r="Q41" s="38">
        <f>MAX(0, K41-N41)</f>
        <v>109.14999999999999</v>
      </c>
      <c r="R41" s="62"/>
      <c r="S41" s="70"/>
      <c r="T41" s="70"/>
      <c r="U41" s="61"/>
      <c r="V41" s="67"/>
      <c r="W41" s="67"/>
      <c r="X41" s="39"/>
      <c r="Y41" s="39"/>
      <c r="Z41" s="39"/>
      <c r="AA41" s="39"/>
      <c r="AB41" s="39"/>
      <c r="AC41" s="39"/>
      <c r="AD41" s="39"/>
      <c r="AE41" s="39"/>
    </row>
    <row r="42" spans="1:31" s="7" customFormat="1">
      <c r="A42" s="33" t="s">
        <v>21</v>
      </c>
      <c r="B42" s="33" t="s">
        <v>22</v>
      </c>
      <c r="C42" s="33" t="s">
        <v>23</v>
      </c>
      <c r="D42" s="33" t="s">
        <v>24</v>
      </c>
      <c r="E42" s="33" t="s">
        <v>25</v>
      </c>
      <c r="F42" s="33" t="s">
        <v>26</v>
      </c>
      <c r="G42" s="33" t="s">
        <v>27</v>
      </c>
      <c r="H42" s="33"/>
      <c r="I42" s="33"/>
      <c r="J42" s="41"/>
      <c r="K42" s="41"/>
      <c r="L42" s="42"/>
      <c r="M42" s="42"/>
      <c r="N42" s="42"/>
      <c r="O42" s="42"/>
      <c r="P42" s="42"/>
      <c r="Q42" s="42"/>
      <c r="R42" s="63"/>
      <c r="S42" s="63"/>
      <c r="T42" s="63"/>
      <c r="U42" s="63"/>
      <c r="V42" s="59"/>
      <c r="W42" s="59"/>
    </row>
    <row r="43" spans="1:31">
      <c r="A43" s="34"/>
    </row>
    <row r="44" spans="1:31">
      <c r="A44" s="34"/>
    </row>
    <row r="45" spans="1:31">
      <c r="A45" s="34"/>
    </row>
    <row r="46" spans="1:31">
      <c r="A46" s="34"/>
    </row>
    <row r="47" spans="1:31">
      <c r="A47" s="34"/>
    </row>
  </sheetData>
  <sheetProtection algorithmName="SHA-512" hashValue="uuZh5/0EydgXwbdcJoF4irGFZHW8OioOvfSM2YSeQjJuVanSJy2y2PVKnbZuLzbRo+UmROwO5gsNTwuT60Hkjg==" saltValue="j4EOMGC3zI9jwoXUWcjzfQ==" spinCount="100000" sheet="1" objects="1" scenarios="1"/>
  <protectedRanges>
    <protectedRange algorithmName="SHA-512" hashValue="ESvxaOJtCcwTHaUWczWw1AFuvIH3YZDzq02Tc5TwcA7kBW/rYxkU/eeIFLY7BljQEZTJ2djLaqBDGJFO6loEig==" saltValue="FiWsOK5jQrsjnQMC5nmnLA==" spinCount="100000" sqref="L8:L38" name="範囲3"/>
    <protectedRange algorithmName="SHA-512" hashValue="29lt+NIPVCYmigX+wZe5jY8fAnQK90EUfJT31rPl8CApxk6GRPD3oe0Gzo32GyxW4MKv2Sgcmp7JZNHuUxVerA==" saltValue="kK9XqH/VCkbOrmRevnv6pg==" spinCount="100000" sqref="F8:F38" name="範囲1"/>
    <protectedRange algorithmName="SHA-512" hashValue="ZS46nNEriQowJyZgx45K+qggwI6vFy2IOmmNOXjhLvNdd6gWJRJK8zk4d+kT102y2VO0qVKu62mXMa8ngNCrRA==" saltValue="MuPJaWB88hOALNNpvaTr4A==" spinCount="100000" sqref="H8:H37" name="範囲2"/>
    <protectedRange algorithmName="SHA-512" hashValue="0YOpEiPSuqg7zEjotUdHJOBoCDk/RqgHQh7Q2Vl+MtPz9wsMbk/jd+GD/O5kULWIV8GW8nv0IR4Wgxo7paB4pQ==" saltValue="pq3137eeeI10Vn8XehQivg==" spinCount="100000" sqref="A4:B4" name="範囲6"/>
    <protectedRange algorithmName="SHA-512" hashValue="ZS46nNEriQowJyZgx45K+qggwI6vFy2IOmmNOXjhLvNdd6gWJRJK8zk4d+kT102y2VO0qVKu62mXMa8ngNCrRA==" saltValue="MuPJaWB88hOALNNpvaTr4A==" spinCount="100000" sqref="M8:Q38" name="範囲2_1"/>
    <protectedRange algorithmName="SHA-512" hashValue="ZS46nNEriQowJyZgx45K+qggwI6vFy2IOmmNOXjhLvNdd6gWJRJK8zk4d+kT102y2VO0qVKu62mXMa8ngNCrRA==" saltValue="MuPJaWB88hOALNNpvaTr4A==" spinCount="100000" sqref="G8:G37" name="範囲2_2"/>
  </protectedRanges>
  <mergeCells count="60">
    <mergeCell ref="M37:Q37"/>
    <mergeCell ref="M31:Q31"/>
    <mergeCell ref="M32:Q32"/>
    <mergeCell ref="M33:Q33"/>
    <mergeCell ref="M34:Q34"/>
    <mergeCell ref="M35:Q35"/>
    <mergeCell ref="M36:Q36"/>
    <mergeCell ref="H41:J41"/>
    <mergeCell ref="L41:M41"/>
    <mergeCell ref="M38:Q38"/>
    <mergeCell ref="H40:J40"/>
    <mergeCell ref="L40:M40"/>
    <mergeCell ref="O40:P40"/>
    <mergeCell ref="O41:P41"/>
    <mergeCell ref="A39:B39"/>
    <mergeCell ref="A41:B41"/>
    <mergeCell ref="D41:F41"/>
    <mergeCell ref="A40:B40"/>
    <mergeCell ref="D40:F40"/>
    <mergeCell ref="M26:Q26"/>
    <mergeCell ref="M27:Q27"/>
    <mergeCell ref="M28:Q28"/>
    <mergeCell ref="M29:Q29"/>
    <mergeCell ref="M30:Q30"/>
    <mergeCell ref="M25:Q25"/>
    <mergeCell ref="M14:Q14"/>
    <mergeCell ref="M15:Q15"/>
    <mergeCell ref="M16:Q16"/>
    <mergeCell ref="M17:Q17"/>
    <mergeCell ref="M18:Q18"/>
    <mergeCell ref="M19:Q19"/>
    <mergeCell ref="M20:Q20"/>
    <mergeCell ref="M21:Q21"/>
    <mergeCell ref="M22:Q22"/>
    <mergeCell ref="M23:Q23"/>
    <mergeCell ref="M24:Q24"/>
    <mergeCell ref="A4:B4"/>
    <mergeCell ref="O4:O5"/>
    <mergeCell ref="P4:P5"/>
    <mergeCell ref="Q4:Q5"/>
    <mergeCell ref="A6:A7"/>
    <mergeCell ref="B6:B7"/>
    <mergeCell ref="C6:C7"/>
    <mergeCell ref="D6:D7"/>
    <mergeCell ref="E6:E7"/>
    <mergeCell ref="I6:I7"/>
    <mergeCell ref="J6:J7"/>
    <mergeCell ref="K6:K7"/>
    <mergeCell ref="M6:Q7"/>
    <mergeCell ref="M13:Q13"/>
    <mergeCell ref="G6:G7"/>
    <mergeCell ref="H6:H7"/>
    <mergeCell ref="F6:F7"/>
    <mergeCell ref="O1:Q1"/>
    <mergeCell ref="O2:Q2"/>
    <mergeCell ref="M8:Q8"/>
    <mergeCell ref="M9:Q9"/>
    <mergeCell ref="M10:Q10"/>
    <mergeCell ref="M11:Q11"/>
    <mergeCell ref="M12:Q12"/>
  </mergeCells>
  <phoneticPr fontId="2"/>
  <conditionalFormatting sqref="A6">
    <cfRule type="expression" dxfId="41" priority="26">
      <formula>WEEKDAY(B8)=土</formula>
    </cfRule>
  </conditionalFormatting>
  <conditionalFormatting sqref="A8:A35">
    <cfRule type="expression" dxfId="40" priority="24">
      <formula>WEEKDAY(B9)=土</formula>
    </cfRule>
  </conditionalFormatting>
  <conditionalFormatting sqref="A8:A38">
    <cfRule type="expression" dxfId="39" priority="2">
      <formula>OR(WEEKDAY(B8,2)=7, COUNTIF($T$8:$T$39,B8)&gt;0)</formula>
    </cfRule>
  </conditionalFormatting>
  <conditionalFormatting sqref="A36:A38">
    <cfRule type="expression" dxfId="38" priority="44" stopIfTrue="1">
      <formula>MATCH($A36,$C$41:$C$59,0)</formula>
    </cfRule>
    <cfRule type="expression" dxfId="37" priority="45" stopIfTrue="1">
      <formula>WEEKDAY($A36)=7</formula>
    </cfRule>
    <cfRule type="expression" dxfId="36" priority="46" stopIfTrue="1">
      <formula>WEEKDAY($A36)=1</formula>
    </cfRule>
  </conditionalFormatting>
  <conditionalFormatting sqref="A8:B35 B36:B38">
    <cfRule type="containsText" dxfId="35" priority="20" operator="containsText" text="土,日">
      <formula>NOT(ISERROR(SEARCH("土,日",A8)))</formula>
    </cfRule>
  </conditionalFormatting>
  <conditionalFormatting sqref="A8:B38">
    <cfRule type="expression" dxfId="34" priority="1">
      <formula>OR(WEEKDAY($A8,2)&gt;=6, COUNTIF($T$8:$T$38,$A8)&gt;0)</formula>
    </cfRule>
    <cfRule type="expression" dxfId="33" priority="4">
      <formula>WEEKDAY(A8,2)=6</formula>
    </cfRule>
    <cfRule type="expression" dxfId="32" priority="5">
      <formula>OR(WEEKDAY(A8,2)=6, WEEKDAY(A8,2)=7, COUNTIF($T$8:$T$26,A8)&gt;0)</formula>
    </cfRule>
    <cfRule type="expression" priority="16">
      <formula>OR(WEEKDAY(A8,2)&gt;5,COUNTIF($U$8:$U$26,A8)&gt;0)</formula>
    </cfRule>
  </conditionalFormatting>
  <conditionalFormatting sqref="B6">
    <cfRule type="expression" dxfId="31" priority="28">
      <formula>WEEKDAY(#REF!)=土</formula>
    </cfRule>
  </conditionalFormatting>
  <conditionalFormatting sqref="B8:B38">
    <cfRule type="expression" dxfId="30" priority="32">
      <formula>OR(WEEKDAY(B8,2)=7, COUNTIF($T$8:$T$39,B8)&gt;0)</formula>
    </cfRule>
    <cfRule type="expression" dxfId="29" priority="33">
      <formula>OR(WEEKDAY(B8,2)=6, WEEKDAY(B8,2)=7)</formula>
    </cfRule>
    <cfRule type="expression" dxfId="28" priority="34">
      <formula>WEEKDAY(#REF!,2)=6</formula>
    </cfRule>
    <cfRule type="expression" dxfId="27" priority="35">
      <formula>WEEKDAY(A4,2)=6</formula>
    </cfRule>
    <cfRule type="expression" dxfId="26" priority="36">
      <formula>WEEKDAY(#REF!,2)=6</formula>
    </cfRule>
    <cfRule type="expression" dxfId="25" priority="37">
      <formula>WEEKDAY(#REF!,2)=6</formula>
    </cfRule>
    <cfRule type="expression" priority="38">
      <formula>OR(WEEKDAY(B8,2)=7, COUNTIF($U$8:$U$26,B8)&gt;0)</formula>
    </cfRule>
    <cfRule type="expression" priority="39">
      <formula>WEEKDAY(A2,2)=6</formula>
    </cfRule>
    <cfRule type="expression" dxfId="24" priority="40">
      <formula>WEEKDAY(B8)=(土)</formula>
    </cfRule>
    <cfRule type="expression" dxfId="23" priority="41">
      <formula>WEEKDAY(B8)=(土)</formula>
    </cfRule>
    <cfRule type="expression" dxfId="22" priority="42">
      <formula>WEEKDAY(B8)=7</formula>
    </cfRule>
    <cfRule type="expression" dxfId="21" priority="43">
      <formula>WEEKDAY(#REF!)=土</formula>
    </cfRule>
  </conditionalFormatting>
  <dataValidations count="4">
    <dataValidation type="list" allowBlank="1" showInputMessage="1" showErrorMessage="1" sqref="O1:Q1" xr:uid="{1D6F0305-E80C-49EA-9004-3DAC43A22D81}">
      <formula1>$A$42:$H$42</formula1>
    </dataValidation>
    <dataValidation type="list" allowBlank="1" showInputMessage="1" showErrorMessage="1" sqref="L8:L38" xr:uid="{B3849BF8-58CC-4900-87D2-1AE32CC018CA}">
      <formula1>$L$6:$L$7</formula1>
    </dataValidation>
    <dataValidation type="list" showInputMessage="1" sqref="M8:Q38" xr:uid="{29E20F34-979B-4F66-A2F6-7C5000BD4489}">
      <formula1>$S$8:$S$12</formula1>
    </dataValidation>
    <dataValidation allowBlank="1" showInputMessage="1" showErrorMessage="1" promptTitle="【確認】" prompt="ここに時間を入力された場合は、_x000a_必ずオフィスステーションでの申請もあわせてお願いいたします。" sqref="H8:H38" xr:uid="{E4CEC7D4-BEB2-48F8-A8AB-C63F25DA1BEA}"/>
  </dataValidations>
  <pageMargins left="0.27559055118110237" right="0.23622047244094491" top="0.74803149606299213" bottom="0.74803149606299213" header="0.31496062992125984" footer="0.31496062992125984"/>
  <pageSetup paperSize="9" scale="99" orientation="portrait" r:id="rId1"/>
  <headerFooter>
    <oddHeader>&amp;R&amp;9株式会社ウェイン</oddHeader>
    <oddFooter>&amp;R&amp;8 202508（v3.42)</oddFooter>
  </headerFooter>
  <rowBreaks count="1" manualBreakCount="1">
    <brk id="1" max="16" man="1"/>
  </rowBreaks>
  <colBreaks count="1" manualBreakCount="1">
    <brk id="7" max="40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15DA3-CE4F-4316-85D7-B8D92D844B0A}">
  <sheetPr codeName="Sheet2">
    <pageSetUpPr fitToPage="1"/>
  </sheetPr>
  <dimension ref="A1:AE47"/>
  <sheetViews>
    <sheetView showGridLines="0" showZeros="0" zoomScaleNormal="100" zoomScaleSheetLayoutView="100" workbookViewId="0">
      <selection activeCell="C9" sqref="C9"/>
    </sheetView>
  </sheetViews>
  <sheetFormatPr defaultRowHeight="13"/>
  <cols>
    <col min="1" max="1" width="6.08203125" style="35" customWidth="1"/>
    <col min="2" max="4" width="6.08203125" style="6" customWidth="1"/>
    <col min="5" max="5" width="6.08203125" style="6" hidden="1" customWidth="1"/>
    <col min="6" max="6" width="6.08203125" style="10" customWidth="1"/>
    <col min="7" max="8" width="6.08203125" style="6" customWidth="1"/>
    <col min="9" max="9" width="6.08203125" style="6" hidden="1" customWidth="1"/>
    <col min="10" max="11" width="6.08203125" style="11" customWidth="1"/>
    <col min="12" max="17" width="6.08203125" style="12" customWidth="1"/>
    <col min="18" max="18" width="9" style="6"/>
    <col min="19" max="19" width="9" style="7"/>
    <col min="20" max="20" width="11.58203125" style="59" bestFit="1" customWidth="1"/>
    <col min="21" max="21" width="3.5" style="7" bestFit="1" customWidth="1"/>
    <col min="22" max="23" width="9" style="7"/>
    <col min="24" max="24" width="9" style="66"/>
    <col min="25" max="212" width="9" style="6"/>
    <col min="213" max="213" width="3.33203125" style="6" customWidth="1"/>
    <col min="214" max="214" width="7.75" style="6" bestFit="1" customWidth="1"/>
    <col min="215" max="215" width="4.5" style="6" customWidth="1"/>
    <col min="216" max="216" width="9.33203125" style="6" bestFit="1" customWidth="1"/>
    <col min="217" max="218" width="8.83203125" style="6" customWidth="1"/>
    <col min="219" max="235" width="0" style="6" hidden="1" customWidth="1"/>
    <col min="236" max="236" width="9" style="6"/>
    <col min="237" max="237" width="9.08203125" style="6" bestFit="1" customWidth="1"/>
    <col min="238" max="238" width="33.25" style="6" customWidth="1"/>
    <col min="239" max="239" width="3.75" style="6" customWidth="1"/>
    <col min="240" max="468" width="9" style="6"/>
    <col min="469" max="469" width="3.33203125" style="6" customWidth="1"/>
    <col min="470" max="470" width="7.75" style="6" bestFit="1" customWidth="1"/>
    <col min="471" max="471" width="4.5" style="6" customWidth="1"/>
    <col min="472" max="472" width="9.33203125" style="6" bestFit="1" customWidth="1"/>
    <col min="473" max="474" width="8.83203125" style="6" customWidth="1"/>
    <col min="475" max="491" width="0" style="6" hidden="1" customWidth="1"/>
    <col min="492" max="492" width="9" style="6"/>
    <col min="493" max="493" width="9.08203125" style="6" bestFit="1" customWidth="1"/>
    <col min="494" max="494" width="33.25" style="6" customWidth="1"/>
    <col min="495" max="495" width="3.75" style="6" customWidth="1"/>
    <col min="496" max="724" width="9" style="6"/>
    <col min="725" max="725" width="3.33203125" style="6" customWidth="1"/>
    <col min="726" max="726" width="7.75" style="6" bestFit="1" customWidth="1"/>
    <col min="727" max="727" width="4.5" style="6" customWidth="1"/>
    <col min="728" max="728" width="9.33203125" style="6" bestFit="1" customWidth="1"/>
    <col min="729" max="730" width="8.83203125" style="6" customWidth="1"/>
    <col min="731" max="747" width="0" style="6" hidden="1" customWidth="1"/>
    <col min="748" max="748" width="9" style="6"/>
    <col min="749" max="749" width="9.08203125" style="6" bestFit="1" customWidth="1"/>
    <col min="750" max="750" width="33.25" style="6" customWidth="1"/>
    <col min="751" max="751" width="3.75" style="6" customWidth="1"/>
    <col min="752" max="980" width="9" style="6"/>
    <col min="981" max="981" width="3.33203125" style="6" customWidth="1"/>
    <col min="982" max="982" width="7.75" style="6" bestFit="1" customWidth="1"/>
    <col min="983" max="983" width="4.5" style="6" customWidth="1"/>
    <col min="984" max="984" width="9.33203125" style="6" bestFit="1" customWidth="1"/>
    <col min="985" max="986" width="8.83203125" style="6" customWidth="1"/>
    <col min="987" max="1003" width="0" style="6" hidden="1" customWidth="1"/>
    <col min="1004" max="1004" width="9" style="6"/>
    <col min="1005" max="1005" width="9.08203125" style="6" bestFit="1" customWidth="1"/>
    <col min="1006" max="1006" width="33.25" style="6" customWidth="1"/>
    <col min="1007" max="1007" width="3.75" style="6" customWidth="1"/>
    <col min="1008" max="1236" width="9" style="6"/>
    <col min="1237" max="1237" width="3.33203125" style="6" customWidth="1"/>
    <col min="1238" max="1238" width="7.75" style="6" bestFit="1" customWidth="1"/>
    <col min="1239" max="1239" width="4.5" style="6" customWidth="1"/>
    <col min="1240" max="1240" width="9.33203125" style="6" bestFit="1" customWidth="1"/>
    <col min="1241" max="1242" width="8.83203125" style="6" customWidth="1"/>
    <col min="1243" max="1259" width="0" style="6" hidden="1" customWidth="1"/>
    <col min="1260" max="1260" width="9" style="6"/>
    <col min="1261" max="1261" width="9.08203125" style="6" bestFit="1" customWidth="1"/>
    <col min="1262" max="1262" width="33.25" style="6" customWidth="1"/>
    <col min="1263" max="1263" width="3.75" style="6" customWidth="1"/>
    <col min="1264" max="1492" width="9" style="6"/>
    <col min="1493" max="1493" width="3.33203125" style="6" customWidth="1"/>
    <col min="1494" max="1494" width="7.75" style="6" bestFit="1" customWidth="1"/>
    <col min="1495" max="1495" width="4.5" style="6" customWidth="1"/>
    <col min="1496" max="1496" width="9.33203125" style="6" bestFit="1" customWidth="1"/>
    <col min="1497" max="1498" width="8.83203125" style="6" customWidth="1"/>
    <col min="1499" max="1515" width="0" style="6" hidden="1" customWidth="1"/>
    <col min="1516" max="1516" width="9" style="6"/>
    <col min="1517" max="1517" width="9.08203125" style="6" bestFit="1" customWidth="1"/>
    <col min="1518" max="1518" width="33.25" style="6" customWidth="1"/>
    <col min="1519" max="1519" width="3.75" style="6" customWidth="1"/>
    <col min="1520" max="1748" width="9" style="6"/>
    <col min="1749" max="1749" width="3.33203125" style="6" customWidth="1"/>
    <col min="1750" max="1750" width="7.75" style="6" bestFit="1" customWidth="1"/>
    <col min="1751" max="1751" width="4.5" style="6" customWidth="1"/>
    <col min="1752" max="1752" width="9.33203125" style="6" bestFit="1" customWidth="1"/>
    <col min="1753" max="1754" width="8.83203125" style="6" customWidth="1"/>
    <col min="1755" max="1771" width="0" style="6" hidden="1" customWidth="1"/>
    <col min="1772" max="1772" width="9" style="6"/>
    <col min="1773" max="1773" width="9.08203125" style="6" bestFit="1" customWidth="1"/>
    <col min="1774" max="1774" width="33.25" style="6" customWidth="1"/>
    <col min="1775" max="1775" width="3.75" style="6" customWidth="1"/>
    <col min="1776" max="2004" width="9" style="6"/>
    <col min="2005" max="2005" width="3.33203125" style="6" customWidth="1"/>
    <col min="2006" max="2006" width="7.75" style="6" bestFit="1" customWidth="1"/>
    <col min="2007" max="2007" width="4.5" style="6" customWidth="1"/>
    <col min="2008" max="2008" width="9.33203125" style="6" bestFit="1" customWidth="1"/>
    <col min="2009" max="2010" width="8.83203125" style="6" customWidth="1"/>
    <col min="2011" max="2027" width="0" style="6" hidden="1" customWidth="1"/>
    <col min="2028" max="2028" width="9" style="6"/>
    <col min="2029" max="2029" width="9.08203125" style="6" bestFit="1" customWidth="1"/>
    <col min="2030" max="2030" width="33.25" style="6" customWidth="1"/>
    <col min="2031" max="2031" width="3.75" style="6" customWidth="1"/>
    <col min="2032" max="2260" width="9" style="6"/>
    <col min="2261" max="2261" width="3.33203125" style="6" customWidth="1"/>
    <col min="2262" max="2262" width="7.75" style="6" bestFit="1" customWidth="1"/>
    <col min="2263" max="2263" width="4.5" style="6" customWidth="1"/>
    <col min="2264" max="2264" width="9.33203125" style="6" bestFit="1" customWidth="1"/>
    <col min="2265" max="2266" width="8.83203125" style="6" customWidth="1"/>
    <col min="2267" max="2283" width="0" style="6" hidden="1" customWidth="1"/>
    <col min="2284" max="2284" width="9" style="6"/>
    <col min="2285" max="2285" width="9.08203125" style="6" bestFit="1" customWidth="1"/>
    <col min="2286" max="2286" width="33.25" style="6" customWidth="1"/>
    <col min="2287" max="2287" width="3.75" style="6" customWidth="1"/>
    <col min="2288" max="2516" width="9" style="6"/>
    <col min="2517" max="2517" width="3.33203125" style="6" customWidth="1"/>
    <col min="2518" max="2518" width="7.75" style="6" bestFit="1" customWidth="1"/>
    <col min="2519" max="2519" width="4.5" style="6" customWidth="1"/>
    <col min="2520" max="2520" width="9.33203125" style="6" bestFit="1" customWidth="1"/>
    <col min="2521" max="2522" width="8.83203125" style="6" customWidth="1"/>
    <col min="2523" max="2539" width="0" style="6" hidden="1" customWidth="1"/>
    <col min="2540" max="2540" width="9" style="6"/>
    <col min="2541" max="2541" width="9.08203125" style="6" bestFit="1" customWidth="1"/>
    <col min="2542" max="2542" width="33.25" style="6" customWidth="1"/>
    <col min="2543" max="2543" width="3.75" style="6" customWidth="1"/>
    <col min="2544" max="2772" width="9" style="6"/>
    <col min="2773" max="2773" width="3.33203125" style="6" customWidth="1"/>
    <col min="2774" max="2774" width="7.75" style="6" bestFit="1" customWidth="1"/>
    <col min="2775" max="2775" width="4.5" style="6" customWidth="1"/>
    <col min="2776" max="2776" width="9.33203125" style="6" bestFit="1" customWidth="1"/>
    <col min="2777" max="2778" width="8.83203125" style="6" customWidth="1"/>
    <col min="2779" max="2795" width="0" style="6" hidden="1" customWidth="1"/>
    <col min="2796" max="2796" width="9" style="6"/>
    <col min="2797" max="2797" width="9.08203125" style="6" bestFit="1" customWidth="1"/>
    <col min="2798" max="2798" width="33.25" style="6" customWidth="1"/>
    <col min="2799" max="2799" width="3.75" style="6" customWidth="1"/>
    <col min="2800" max="3028" width="9" style="6"/>
    <col min="3029" max="3029" width="3.33203125" style="6" customWidth="1"/>
    <col min="3030" max="3030" width="7.75" style="6" bestFit="1" customWidth="1"/>
    <col min="3031" max="3031" width="4.5" style="6" customWidth="1"/>
    <col min="3032" max="3032" width="9.33203125" style="6" bestFit="1" customWidth="1"/>
    <col min="3033" max="3034" width="8.83203125" style="6" customWidth="1"/>
    <col min="3035" max="3051" width="0" style="6" hidden="1" customWidth="1"/>
    <col min="3052" max="3052" width="9" style="6"/>
    <col min="3053" max="3053" width="9.08203125" style="6" bestFit="1" customWidth="1"/>
    <col min="3054" max="3054" width="33.25" style="6" customWidth="1"/>
    <col min="3055" max="3055" width="3.75" style="6" customWidth="1"/>
    <col min="3056" max="3284" width="9" style="6"/>
    <col min="3285" max="3285" width="3.33203125" style="6" customWidth="1"/>
    <col min="3286" max="3286" width="7.75" style="6" bestFit="1" customWidth="1"/>
    <col min="3287" max="3287" width="4.5" style="6" customWidth="1"/>
    <col min="3288" max="3288" width="9.33203125" style="6" bestFit="1" customWidth="1"/>
    <col min="3289" max="3290" width="8.83203125" style="6" customWidth="1"/>
    <col min="3291" max="3307" width="0" style="6" hidden="1" customWidth="1"/>
    <col min="3308" max="3308" width="9" style="6"/>
    <col min="3309" max="3309" width="9.08203125" style="6" bestFit="1" customWidth="1"/>
    <col min="3310" max="3310" width="33.25" style="6" customWidth="1"/>
    <col min="3311" max="3311" width="3.75" style="6" customWidth="1"/>
    <col min="3312" max="3540" width="9" style="6"/>
    <col min="3541" max="3541" width="3.33203125" style="6" customWidth="1"/>
    <col min="3542" max="3542" width="7.75" style="6" bestFit="1" customWidth="1"/>
    <col min="3543" max="3543" width="4.5" style="6" customWidth="1"/>
    <col min="3544" max="3544" width="9.33203125" style="6" bestFit="1" customWidth="1"/>
    <col min="3545" max="3546" width="8.83203125" style="6" customWidth="1"/>
    <col min="3547" max="3563" width="0" style="6" hidden="1" customWidth="1"/>
    <col min="3564" max="3564" width="9" style="6"/>
    <col min="3565" max="3565" width="9.08203125" style="6" bestFit="1" customWidth="1"/>
    <col min="3566" max="3566" width="33.25" style="6" customWidth="1"/>
    <col min="3567" max="3567" width="3.75" style="6" customWidth="1"/>
    <col min="3568" max="3796" width="9" style="6"/>
    <col min="3797" max="3797" width="3.33203125" style="6" customWidth="1"/>
    <col min="3798" max="3798" width="7.75" style="6" bestFit="1" customWidth="1"/>
    <col min="3799" max="3799" width="4.5" style="6" customWidth="1"/>
    <col min="3800" max="3800" width="9.33203125" style="6" bestFit="1" customWidth="1"/>
    <col min="3801" max="3802" width="8.83203125" style="6" customWidth="1"/>
    <col min="3803" max="3819" width="0" style="6" hidden="1" customWidth="1"/>
    <col min="3820" max="3820" width="9" style="6"/>
    <col min="3821" max="3821" width="9.08203125" style="6" bestFit="1" customWidth="1"/>
    <col min="3822" max="3822" width="33.25" style="6" customWidth="1"/>
    <col min="3823" max="3823" width="3.75" style="6" customWidth="1"/>
    <col min="3824" max="4052" width="9" style="6"/>
    <col min="4053" max="4053" width="3.33203125" style="6" customWidth="1"/>
    <col min="4054" max="4054" width="7.75" style="6" bestFit="1" customWidth="1"/>
    <col min="4055" max="4055" width="4.5" style="6" customWidth="1"/>
    <col min="4056" max="4056" width="9.33203125" style="6" bestFit="1" customWidth="1"/>
    <col min="4057" max="4058" width="8.83203125" style="6" customWidth="1"/>
    <col min="4059" max="4075" width="0" style="6" hidden="1" customWidth="1"/>
    <col min="4076" max="4076" width="9" style="6"/>
    <col min="4077" max="4077" width="9.08203125" style="6" bestFit="1" customWidth="1"/>
    <col min="4078" max="4078" width="33.25" style="6" customWidth="1"/>
    <col min="4079" max="4079" width="3.75" style="6" customWidth="1"/>
    <col min="4080" max="4308" width="9" style="6"/>
    <col min="4309" max="4309" width="3.33203125" style="6" customWidth="1"/>
    <col min="4310" max="4310" width="7.75" style="6" bestFit="1" customWidth="1"/>
    <col min="4311" max="4311" width="4.5" style="6" customWidth="1"/>
    <col min="4312" max="4312" width="9.33203125" style="6" bestFit="1" customWidth="1"/>
    <col min="4313" max="4314" width="8.83203125" style="6" customWidth="1"/>
    <col min="4315" max="4331" width="0" style="6" hidden="1" customWidth="1"/>
    <col min="4332" max="4332" width="9" style="6"/>
    <col min="4333" max="4333" width="9.08203125" style="6" bestFit="1" customWidth="1"/>
    <col min="4334" max="4334" width="33.25" style="6" customWidth="1"/>
    <col min="4335" max="4335" width="3.75" style="6" customWidth="1"/>
    <col min="4336" max="4564" width="9" style="6"/>
    <col min="4565" max="4565" width="3.33203125" style="6" customWidth="1"/>
    <col min="4566" max="4566" width="7.75" style="6" bestFit="1" customWidth="1"/>
    <col min="4567" max="4567" width="4.5" style="6" customWidth="1"/>
    <col min="4568" max="4568" width="9.33203125" style="6" bestFit="1" customWidth="1"/>
    <col min="4569" max="4570" width="8.83203125" style="6" customWidth="1"/>
    <col min="4571" max="4587" width="0" style="6" hidden="1" customWidth="1"/>
    <col min="4588" max="4588" width="9" style="6"/>
    <col min="4589" max="4589" width="9.08203125" style="6" bestFit="1" customWidth="1"/>
    <col min="4590" max="4590" width="33.25" style="6" customWidth="1"/>
    <col min="4591" max="4591" width="3.75" style="6" customWidth="1"/>
    <col min="4592" max="4820" width="9" style="6"/>
    <col min="4821" max="4821" width="3.33203125" style="6" customWidth="1"/>
    <col min="4822" max="4822" width="7.75" style="6" bestFit="1" customWidth="1"/>
    <col min="4823" max="4823" width="4.5" style="6" customWidth="1"/>
    <col min="4824" max="4824" width="9.33203125" style="6" bestFit="1" customWidth="1"/>
    <col min="4825" max="4826" width="8.83203125" style="6" customWidth="1"/>
    <col min="4827" max="4843" width="0" style="6" hidden="1" customWidth="1"/>
    <col min="4844" max="4844" width="9" style="6"/>
    <col min="4845" max="4845" width="9.08203125" style="6" bestFit="1" customWidth="1"/>
    <col min="4846" max="4846" width="33.25" style="6" customWidth="1"/>
    <col min="4847" max="4847" width="3.75" style="6" customWidth="1"/>
    <col min="4848" max="5076" width="9" style="6"/>
    <col min="5077" max="5077" width="3.33203125" style="6" customWidth="1"/>
    <col min="5078" max="5078" width="7.75" style="6" bestFit="1" customWidth="1"/>
    <col min="5079" max="5079" width="4.5" style="6" customWidth="1"/>
    <col min="5080" max="5080" width="9.33203125" style="6" bestFit="1" customWidth="1"/>
    <col min="5081" max="5082" width="8.83203125" style="6" customWidth="1"/>
    <col min="5083" max="5099" width="0" style="6" hidden="1" customWidth="1"/>
    <col min="5100" max="5100" width="9" style="6"/>
    <col min="5101" max="5101" width="9.08203125" style="6" bestFit="1" customWidth="1"/>
    <col min="5102" max="5102" width="33.25" style="6" customWidth="1"/>
    <col min="5103" max="5103" width="3.75" style="6" customWidth="1"/>
    <col min="5104" max="5332" width="9" style="6"/>
    <col min="5333" max="5333" width="3.33203125" style="6" customWidth="1"/>
    <col min="5334" max="5334" width="7.75" style="6" bestFit="1" customWidth="1"/>
    <col min="5335" max="5335" width="4.5" style="6" customWidth="1"/>
    <col min="5336" max="5336" width="9.33203125" style="6" bestFit="1" customWidth="1"/>
    <col min="5337" max="5338" width="8.83203125" style="6" customWidth="1"/>
    <col min="5339" max="5355" width="0" style="6" hidden="1" customWidth="1"/>
    <col min="5356" max="5356" width="9" style="6"/>
    <col min="5357" max="5357" width="9.08203125" style="6" bestFit="1" customWidth="1"/>
    <col min="5358" max="5358" width="33.25" style="6" customWidth="1"/>
    <col min="5359" max="5359" width="3.75" style="6" customWidth="1"/>
    <col min="5360" max="5588" width="9" style="6"/>
    <col min="5589" max="5589" width="3.33203125" style="6" customWidth="1"/>
    <col min="5590" max="5590" width="7.75" style="6" bestFit="1" customWidth="1"/>
    <col min="5591" max="5591" width="4.5" style="6" customWidth="1"/>
    <col min="5592" max="5592" width="9.33203125" style="6" bestFit="1" customWidth="1"/>
    <col min="5593" max="5594" width="8.83203125" style="6" customWidth="1"/>
    <col min="5595" max="5611" width="0" style="6" hidden="1" customWidth="1"/>
    <col min="5612" max="5612" width="9" style="6"/>
    <col min="5613" max="5613" width="9.08203125" style="6" bestFit="1" customWidth="1"/>
    <col min="5614" max="5614" width="33.25" style="6" customWidth="1"/>
    <col min="5615" max="5615" width="3.75" style="6" customWidth="1"/>
    <col min="5616" max="5844" width="9" style="6"/>
    <col min="5845" max="5845" width="3.33203125" style="6" customWidth="1"/>
    <col min="5846" max="5846" width="7.75" style="6" bestFit="1" customWidth="1"/>
    <col min="5847" max="5847" width="4.5" style="6" customWidth="1"/>
    <col min="5848" max="5848" width="9.33203125" style="6" bestFit="1" customWidth="1"/>
    <col min="5849" max="5850" width="8.83203125" style="6" customWidth="1"/>
    <col min="5851" max="5867" width="0" style="6" hidden="1" customWidth="1"/>
    <col min="5868" max="5868" width="9" style="6"/>
    <col min="5869" max="5869" width="9.08203125" style="6" bestFit="1" customWidth="1"/>
    <col min="5870" max="5870" width="33.25" style="6" customWidth="1"/>
    <col min="5871" max="5871" width="3.75" style="6" customWidth="1"/>
    <col min="5872" max="6100" width="9" style="6"/>
    <col min="6101" max="6101" width="3.33203125" style="6" customWidth="1"/>
    <col min="6102" max="6102" width="7.75" style="6" bestFit="1" customWidth="1"/>
    <col min="6103" max="6103" width="4.5" style="6" customWidth="1"/>
    <col min="6104" max="6104" width="9.33203125" style="6" bestFit="1" customWidth="1"/>
    <col min="6105" max="6106" width="8.83203125" style="6" customWidth="1"/>
    <col min="6107" max="6123" width="0" style="6" hidden="1" customWidth="1"/>
    <col min="6124" max="6124" width="9" style="6"/>
    <col min="6125" max="6125" width="9.08203125" style="6" bestFit="1" customWidth="1"/>
    <col min="6126" max="6126" width="33.25" style="6" customWidth="1"/>
    <col min="6127" max="6127" width="3.75" style="6" customWidth="1"/>
    <col min="6128" max="6356" width="9" style="6"/>
    <col min="6357" max="6357" width="3.33203125" style="6" customWidth="1"/>
    <col min="6358" max="6358" width="7.75" style="6" bestFit="1" customWidth="1"/>
    <col min="6359" max="6359" width="4.5" style="6" customWidth="1"/>
    <col min="6360" max="6360" width="9.33203125" style="6" bestFit="1" customWidth="1"/>
    <col min="6361" max="6362" width="8.83203125" style="6" customWidth="1"/>
    <col min="6363" max="6379" width="0" style="6" hidden="1" customWidth="1"/>
    <col min="6380" max="6380" width="9" style="6"/>
    <col min="6381" max="6381" width="9.08203125" style="6" bestFit="1" customWidth="1"/>
    <col min="6382" max="6382" width="33.25" style="6" customWidth="1"/>
    <col min="6383" max="6383" width="3.75" style="6" customWidth="1"/>
    <col min="6384" max="6612" width="9" style="6"/>
    <col min="6613" max="6613" width="3.33203125" style="6" customWidth="1"/>
    <col min="6614" max="6614" width="7.75" style="6" bestFit="1" customWidth="1"/>
    <col min="6615" max="6615" width="4.5" style="6" customWidth="1"/>
    <col min="6616" max="6616" width="9.33203125" style="6" bestFit="1" customWidth="1"/>
    <col min="6617" max="6618" width="8.83203125" style="6" customWidth="1"/>
    <col min="6619" max="6635" width="0" style="6" hidden="1" customWidth="1"/>
    <col min="6636" max="6636" width="9" style="6"/>
    <col min="6637" max="6637" width="9.08203125" style="6" bestFit="1" customWidth="1"/>
    <col min="6638" max="6638" width="33.25" style="6" customWidth="1"/>
    <col min="6639" max="6639" width="3.75" style="6" customWidth="1"/>
    <col min="6640" max="6868" width="9" style="6"/>
    <col min="6869" max="6869" width="3.33203125" style="6" customWidth="1"/>
    <col min="6870" max="6870" width="7.75" style="6" bestFit="1" customWidth="1"/>
    <col min="6871" max="6871" width="4.5" style="6" customWidth="1"/>
    <col min="6872" max="6872" width="9.33203125" style="6" bestFit="1" customWidth="1"/>
    <col min="6873" max="6874" width="8.83203125" style="6" customWidth="1"/>
    <col min="6875" max="6891" width="0" style="6" hidden="1" customWidth="1"/>
    <col min="6892" max="6892" width="9" style="6"/>
    <col min="6893" max="6893" width="9.08203125" style="6" bestFit="1" customWidth="1"/>
    <col min="6894" max="6894" width="33.25" style="6" customWidth="1"/>
    <col min="6895" max="6895" width="3.75" style="6" customWidth="1"/>
    <col min="6896" max="7124" width="9" style="6"/>
    <col min="7125" max="7125" width="3.33203125" style="6" customWidth="1"/>
    <col min="7126" max="7126" width="7.75" style="6" bestFit="1" customWidth="1"/>
    <col min="7127" max="7127" width="4.5" style="6" customWidth="1"/>
    <col min="7128" max="7128" width="9.33203125" style="6" bestFit="1" customWidth="1"/>
    <col min="7129" max="7130" width="8.83203125" style="6" customWidth="1"/>
    <col min="7131" max="7147" width="0" style="6" hidden="1" customWidth="1"/>
    <col min="7148" max="7148" width="9" style="6"/>
    <col min="7149" max="7149" width="9.08203125" style="6" bestFit="1" customWidth="1"/>
    <col min="7150" max="7150" width="33.25" style="6" customWidth="1"/>
    <col min="7151" max="7151" width="3.75" style="6" customWidth="1"/>
    <col min="7152" max="7380" width="9" style="6"/>
    <col min="7381" max="7381" width="3.33203125" style="6" customWidth="1"/>
    <col min="7382" max="7382" width="7.75" style="6" bestFit="1" customWidth="1"/>
    <col min="7383" max="7383" width="4.5" style="6" customWidth="1"/>
    <col min="7384" max="7384" width="9.33203125" style="6" bestFit="1" customWidth="1"/>
    <col min="7385" max="7386" width="8.83203125" style="6" customWidth="1"/>
    <col min="7387" max="7403" width="0" style="6" hidden="1" customWidth="1"/>
    <col min="7404" max="7404" width="9" style="6"/>
    <col min="7405" max="7405" width="9.08203125" style="6" bestFit="1" customWidth="1"/>
    <col min="7406" max="7406" width="33.25" style="6" customWidth="1"/>
    <col min="7407" max="7407" width="3.75" style="6" customWidth="1"/>
    <col min="7408" max="7636" width="9" style="6"/>
    <col min="7637" max="7637" width="3.33203125" style="6" customWidth="1"/>
    <col min="7638" max="7638" width="7.75" style="6" bestFit="1" customWidth="1"/>
    <col min="7639" max="7639" width="4.5" style="6" customWidth="1"/>
    <col min="7640" max="7640" width="9.33203125" style="6" bestFit="1" customWidth="1"/>
    <col min="7641" max="7642" width="8.83203125" style="6" customWidth="1"/>
    <col min="7643" max="7659" width="0" style="6" hidden="1" customWidth="1"/>
    <col min="7660" max="7660" width="9" style="6"/>
    <col min="7661" max="7661" width="9.08203125" style="6" bestFit="1" customWidth="1"/>
    <col min="7662" max="7662" width="33.25" style="6" customWidth="1"/>
    <col min="7663" max="7663" width="3.75" style="6" customWidth="1"/>
    <col min="7664" max="7892" width="9" style="6"/>
    <col min="7893" max="7893" width="3.33203125" style="6" customWidth="1"/>
    <col min="7894" max="7894" width="7.75" style="6" bestFit="1" customWidth="1"/>
    <col min="7895" max="7895" width="4.5" style="6" customWidth="1"/>
    <col min="7896" max="7896" width="9.33203125" style="6" bestFit="1" customWidth="1"/>
    <col min="7897" max="7898" width="8.83203125" style="6" customWidth="1"/>
    <col min="7899" max="7915" width="0" style="6" hidden="1" customWidth="1"/>
    <col min="7916" max="7916" width="9" style="6"/>
    <col min="7917" max="7917" width="9.08203125" style="6" bestFit="1" customWidth="1"/>
    <col min="7918" max="7918" width="33.25" style="6" customWidth="1"/>
    <col min="7919" max="7919" width="3.75" style="6" customWidth="1"/>
    <col min="7920" max="8148" width="9" style="6"/>
    <col min="8149" max="8149" width="3.33203125" style="6" customWidth="1"/>
    <col min="8150" max="8150" width="7.75" style="6" bestFit="1" customWidth="1"/>
    <col min="8151" max="8151" width="4.5" style="6" customWidth="1"/>
    <col min="8152" max="8152" width="9.33203125" style="6" bestFit="1" customWidth="1"/>
    <col min="8153" max="8154" width="8.83203125" style="6" customWidth="1"/>
    <col min="8155" max="8171" width="0" style="6" hidden="1" customWidth="1"/>
    <col min="8172" max="8172" width="9" style="6"/>
    <col min="8173" max="8173" width="9.08203125" style="6" bestFit="1" customWidth="1"/>
    <col min="8174" max="8174" width="33.25" style="6" customWidth="1"/>
    <col min="8175" max="8175" width="3.75" style="6" customWidth="1"/>
    <col min="8176" max="8404" width="9" style="6"/>
    <col min="8405" max="8405" width="3.33203125" style="6" customWidth="1"/>
    <col min="8406" max="8406" width="7.75" style="6" bestFit="1" customWidth="1"/>
    <col min="8407" max="8407" width="4.5" style="6" customWidth="1"/>
    <col min="8408" max="8408" width="9.33203125" style="6" bestFit="1" customWidth="1"/>
    <col min="8409" max="8410" width="8.83203125" style="6" customWidth="1"/>
    <col min="8411" max="8427" width="0" style="6" hidden="1" customWidth="1"/>
    <col min="8428" max="8428" width="9" style="6"/>
    <col min="8429" max="8429" width="9.08203125" style="6" bestFit="1" customWidth="1"/>
    <col min="8430" max="8430" width="33.25" style="6" customWidth="1"/>
    <col min="8431" max="8431" width="3.75" style="6" customWidth="1"/>
    <col min="8432" max="8660" width="9" style="6"/>
    <col min="8661" max="8661" width="3.33203125" style="6" customWidth="1"/>
    <col min="8662" max="8662" width="7.75" style="6" bestFit="1" customWidth="1"/>
    <col min="8663" max="8663" width="4.5" style="6" customWidth="1"/>
    <col min="8664" max="8664" width="9.33203125" style="6" bestFit="1" customWidth="1"/>
    <col min="8665" max="8666" width="8.83203125" style="6" customWidth="1"/>
    <col min="8667" max="8683" width="0" style="6" hidden="1" customWidth="1"/>
    <col min="8684" max="8684" width="9" style="6"/>
    <col min="8685" max="8685" width="9.08203125" style="6" bestFit="1" customWidth="1"/>
    <col min="8686" max="8686" width="33.25" style="6" customWidth="1"/>
    <col min="8687" max="8687" width="3.75" style="6" customWidth="1"/>
    <col min="8688" max="8916" width="9" style="6"/>
    <col min="8917" max="8917" width="3.33203125" style="6" customWidth="1"/>
    <col min="8918" max="8918" width="7.75" style="6" bestFit="1" customWidth="1"/>
    <col min="8919" max="8919" width="4.5" style="6" customWidth="1"/>
    <col min="8920" max="8920" width="9.33203125" style="6" bestFit="1" customWidth="1"/>
    <col min="8921" max="8922" width="8.83203125" style="6" customWidth="1"/>
    <col min="8923" max="8939" width="0" style="6" hidden="1" customWidth="1"/>
    <col min="8940" max="8940" width="9" style="6"/>
    <col min="8941" max="8941" width="9.08203125" style="6" bestFit="1" customWidth="1"/>
    <col min="8942" max="8942" width="33.25" style="6" customWidth="1"/>
    <col min="8943" max="8943" width="3.75" style="6" customWidth="1"/>
    <col min="8944" max="9172" width="9" style="6"/>
    <col min="9173" max="9173" width="3.33203125" style="6" customWidth="1"/>
    <col min="9174" max="9174" width="7.75" style="6" bestFit="1" customWidth="1"/>
    <col min="9175" max="9175" width="4.5" style="6" customWidth="1"/>
    <col min="9176" max="9176" width="9.33203125" style="6" bestFit="1" customWidth="1"/>
    <col min="9177" max="9178" width="8.83203125" style="6" customWidth="1"/>
    <col min="9179" max="9195" width="0" style="6" hidden="1" customWidth="1"/>
    <col min="9196" max="9196" width="9" style="6"/>
    <col min="9197" max="9197" width="9.08203125" style="6" bestFit="1" customWidth="1"/>
    <col min="9198" max="9198" width="33.25" style="6" customWidth="1"/>
    <col min="9199" max="9199" width="3.75" style="6" customWidth="1"/>
    <col min="9200" max="9428" width="9" style="6"/>
    <col min="9429" max="9429" width="3.33203125" style="6" customWidth="1"/>
    <col min="9430" max="9430" width="7.75" style="6" bestFit="1" customWidth="1"/>
    <col min="9431" max="9431" width="4.5" style="6" customWidth="1"/>
    <col min="9432" max="9432" width="9.33203125" style="6" bestFit="1" customWidth="1"/>
    <col min="9433" max="9434" width="8.83203125" style="6" customWidth="1"/>
    <col min="9435" max="9451" width="0" style="6" hidden="1" customWidth="1"/>
    <col min="9452" max="9452" width="9" style="6"/>
    <col min="9453" max="9453" width="9.08203125" style="6" bestFit="1" customWidth="1"/>
    <col min="9454" max="9454" width="33.25" style="6" customWidth="1"/>
    <col min="9455" max="9455" width="3.75" style="6" customWidth="1"/>
    <col min="9456" max="9684" width="9" style="6"/>
    <col min="9685" max="9685" width="3.33203125" style="6" customWidth="1"/>
    <col min="9686" max="9686" width="7.75" style="6" bestFit="1" customWidth="1"/>
    <col min="9687" max="9687" width="4.5" style="6" customWidth="1"/>
    <col min="9688" max="9688" width="9.33203125" style="6" bestFit="1" customWidth="1"/>
    <col min="9689" max="9690" width="8.83203125" style="6" customWidth="1"/>
    <col min="9691" max="9707" width="0" style="6" hidden="1" customWidth="1"/>
    <col min="9708" max="9708" width="9" style="6"/>
    <col min="9709" max="9709" width="9.08203125" style="6" bestFit="1" customWidth="1"/>
    <col min="9710" max="9710" width="33.25" style="6" customWidth="1"/>
    <col min="9711" max="9711" width="3.75" style="6" customWidth="1"/>
    <col min="9712" max="9940" width="9" style="6"/>
    <col min="9941" max="9941" width="3.33203125" style="6" customWidth="1"/>
    <col min="9942" max="9942" width="7.75" style="6" bestFit="1" customWidth="1"/>
    <col min="9943" max="9943" width="4.5" style="6" customWidth="1"/>
    <col min="9944" max="9944" width="9.33203125" style="6" bestFit="1" customWidth="1"/>
    <col min="9945" max="9946" width="8.83203125" style="6" customWidth="1"/>
    <col min="9947" max="9963" width="0" style="6" hidden="1" customWidth="1"/>
    <col min="9964" max="9964" width="9" style="6"/>
    <col min="9965" max="9965" width="9.08203125" style="6" bestFit="1" customWidth="1"/>
    <col min="9966" max="9966" width="33.25" style="6" customWidth="1"/>
    <col min="9967" max="9967" width="3.75" style="6" customWidth="1"/>
    <col min="9968" max="10196" width="9" style="6"/>
    <col min="10197" max="10197" width="3.33203125" style="6" customWidth="1"/>
    <col min="10198" max="10198" width="7.75" style="6" bestFit="1" customWidth="1"/>
    <col min="10199" max="10199" width="4.5" style="6" customWidth="1"/>
    <col min="10200" max="10200" width="9.33203125" style="6" bestFit="1" customWidth="1"/>
    <col min="10201" max="10202" width="8.83203125" style="6" customWidth="1"/>
    <col min="10203" max="10219" width="0" style="6" hidden="1" customWidth="1"/>
    <col min="10220" max="10220" width="9" style="6"/>
    <col min="10221" max="10221" width="9.08203125" style="6" bestFit="1" customWidth="1"/>
    <col min="10222" max="10222" width="33.25" style="6" customWidth="1"/>
    <col min="10223" max="10223" width="3.75" style="6" customWidth="1"/>
    <col min="10224" max="10452" width="9" style="6"/>
    <col min="10453" max="10453" width="3.33203125" style="6" customWidth="1"/>
    <col min="10454" max="10454" width="7.75" style="6" bestFit="1" customWidth="1"/>
    <col min="10455" max="10455" width="4.5" style="6" customWidth="1"/>
    <col min="10456" max="10456" width="9.33203125" style="6" bestFit="1" customWidth="1"/>
    <col min="10457" max="10458" width="8.83203125" style="6" customWidth="1"/>
    <col min="10459" max="10475" width="0" style="6" hidden="1" customWidth="1"/>
    <col min="10476" max="10476" width="9" style="6"/>
    <col min="10477" max="10477" width="9.08203125" style="6" bestFit="1" customWidth="1"/>
    <col min="10478" max="10478" width="33.25" style="6" customWidth="1"/>
    <col min="10479" max="10479" width="3.75" style="6" customWidth="1"/>
    <col min="10480" max="10708" width="9" style="6"/>
    <col min="10709" max="10709" width="3.33203125" style="6" customWidth="1"/>
    <col min="10710" max="10710" width="7.75" style="6" bestFit="1" customWidth="1"/>
    <col min="10711" max="10711" width="4.5" style="6" customWidth="1"/>
    <col min="10712" max="10712" width="9.33203125" style="6" bestFit="1" customWidth="1"/>
    <col min="10713" max="10714" width="8.83203125" style="6" customWidth="1"/>
    <col min="10715" max="10731" width="0" style="6" hidden="1" customWidth="1"/>
    <col min="10732" max="10732" width="9" style="6"/>
    <col min="10733" max="10733" width="9.08203125" style="6" bestFit="1" customWidth="1"/>
    <col min="10734" max="10734" width="33.25" style="6" customWidth="1"/>
    <col min="10735" max="10735" width="3.75" style="6" customWidth="1"/>
    <col min="10736" max="10964" width="9" style="6"/>
    <col min="10965" max="10965" width="3.33203125" style="6" customWidth="1"/>
    <col min="10966" max="10966" width="7.75" style="6" bestFit="1" customWidth="1"/>
    <col min="10967" max="10967" width="4.5" style="6" customWidth="1"/>
    <col min="10968" max="10968" width="9.33203125" style="6" bestFit="1" customWidth="1"/>
    <col min="10969" max="10970" width="8.83203125" style="6" customWidth="1"/>
    <col min="10971" max="10987" width="0" style="6" hidden="1" customWidth="1"/>
    <col min="10988" max="10988" width="9" style="6"/>
    <col min="10989" max="10989" width="9.08203125" style="6" bestFit="1" customWidth="1"/>
    <col min="10990" max="10990" width="33.25" style="6" customWidth="1"/>
    <col min="10991" max="10991" width="3.75" style="6" customWidth="1"/>
    <col min="10992" max="11220" width="9" style="6"/>
    <col min="11221" max="11221" width="3.33203125" style="6" customWidth="1"/>
    <col min="11222" max="11222" width="7.75" style="6" bestFit="1" customWidth="1"/>
    <col min="11223" max="11223" width="4.5" style="6" customWidth="1"/>
    <col min="11224" max="11224" width="9.33203125" style="6" bestFit="1" customWidth="1"/>
    <col min="11225" max="11226" width="8.83203125" style="6" customWidth="1"/>
    <col min="11227" max="11243" width="0" style="6" hidden="1" customWidth="1"/>
    <col min="11244" max="11244" width="9" style="6"/>
    <col min="11245" max="11245" width="9.08203125" style="6" bestFit="1" customWidth="1"/>
    <col min="11246" max="11246" width="33.25" style="6" customWidth="1"/>
    <col min="11247" max="11247" width="3.75" style="6" customWidth="1"/>
    <col min="11248" max="11476" width="9" style="6"/>
    <col min="11477" max="11477" width="3.33203125" style="6" customWidth="1"/>
    <col min="11478" max="11478" width="7.75" style="6" bestFit="1" customWidth="1"/>
    <col min="11479" max="11479" width="4.5" style="6" customWidth="1"/>
    <col min="11480" max="11480" width="9.33203125" style="6" bestFit="1" customWidth="1"/>
    <col min="11481" max="11482" width="8.83203125" style="6" customWidth="1"/>
    <col min="11483" max="11499" width="0" style="6" hidden="1" customWidth="1"/>
    <col min="11500" max="11500" width="9" style="6"/>
    <col min="11501" max="11501" width="9.08203125" style="6" bestFit="1" customWidth="1"/>
    <col min="11502" max="11502" width="33.25" style="6" customWidth="1"/>
    <col min="11503" max="11503" width="3.75" style="6" customWidth="1"/>
    <col min="11504" max="11732" width="9" style="6"/>
    <col min="11733" max="11733" width="3.33203125" style="6" customWidth="1"/>
    <col min="11734" max="11734" width="7.75" style="6" bestFit="1" customWidth="1"/>
    <col min="11735" max="11735" width="4.5" style="6" customWidth="1"/>
    <col min="11736" max="11736" width="9.33203125" style="6" bestFit="1" customWidth="1"/>
    <col min="11737" max="11738" width="8.83203125" style="6" customWidth="1"/>
    <col min="11739" max="11755" width="0" style="6" hidden="1" customWidth="1"/>
    <col min="11756" max="11756" width="9" style="6"/>
    <col min="11757" max="11757" width="9.08203125" style="6" bestFit="1" customWidth="1"/>
    <col min="11758" max="11758" width="33.25" style="6" customWidth="1"/>
    <col min="11759" max="11759" width="3.75" style="6" customWidth="1"/>
    <col min="11760" max="11988" width="9" style="6"/>
    <col min="11989" max="11989" width="3.33203125" style="6" customWidth="1"/>
    <col min="11990" max="11990" width="7.75" style="6" bestFit="1" customWidth="1"/>
    <col min="11991" max="11991" width="4.5" style="6" customWidth="1"/>
    <col min="11992" max="11992" width="9.33203125" style="6" bestFit="1" customWidth="1"/>
    <col min="11993" max="11994" width="8.83203125" style="6" customWidth="1"/>
    <col min="11995" max="12011" width="0" style="6" hidden="1" customWidth="1"/>
    <col min="12012" max="12012" width="9" style="6"/>
    <col min="12013" max="12013" width="9.08203125" style="6" bestFit="1" customWidth="1"/>
    <col min="12014" max="12014" width="33.25" style="6" customWidth="1"/>
    <col min="12015" max="12015" width="3.75" style="6" customWidth="1"/>
    <col min="12016" max="12244" width="9" style="6"/>
    <col min="12245" max="12245" width="3.33203125" style="6" customWidth="1"/>
    <col min="12246" max="12246" width="7.75" style="6" bestFit="1" customWidth="1"/>
    <col min="12247" max="12247" width="4.5" style="6" customWidth="1"/>
    <col min="12248" max="12248" width="9.33203125" style="6" bestFit="1" customWidth="1"/>
    <col min="12249" max="12250" width="8.83203125" style="6" customWidth="1"/>
    <col min="12251" max="12267" width="0" style="6" hidden="1" customWidth="1"/>
    <col min="12268" max="12268" width="9" style="6"/>
    <col min="12269" max="12269" width="9.08203125" style="6" bestFit="1" customWidth="1"/>
    <col min="12270" max="12270" width="33.25" style="6" customWidth="1"/>
    <col min="12271" max="12271" width="3.75" style="6" customWidth="1"/>
    <col min="12272" max="12500" width="9" style="6"/>
    <col min="12501" max="12501" width="3.33203125" style="6" customWidth="1"/>
    <col min="12502" max="12502" width="7.75" style="6" bestFit="1" customWidth="1"/>
    <col min="12503" max="12503" width="4.5" style="6" customWidth="1"/>
    <col min="12504" max="12504" width="9.33203125" style="6" bestFit="1" customWidth="1"/>
    <col min="12505" max="12506" width="8.83203125" style="6" customWidth="1"/>
    <col min="12507" max="12523" width="0" style="6" hidden="1" customWidth="1"/>
    <col min="12524" max="12524" width="9" style="6"/>
    <col min="12525" max="12525" width="9.08203125" style="6" bestFit="1" customWidth="1"/>
    <col min="12526" max="12526" width="33.25" style="6" customWidth="1"/>
    <col min="12527" max="12527" width="3.75" style="6" customWidth="1"/>
    <col min="12528" max="12756" width="9" style="6"/>
    <col min="12757" max="12757" width="3.33203125" style="6" customWidth="1"/>
    <col min="12758" max="12758" width="7.75" style="6" bestFit="1" customWidth="1"/>
    <col min="12759" max="12759" width="4.5" style="6" customWidth="1"/>
    <col min="12760" max="12760" width="9.33203125" style="6" bestFit="1" customWidth="1"/>
    <col min="12761" max="12762" width="8.83203125" style="6" customWidth="1"/>
    <col min="12763" max="12779" width="0" style="6" hidden="1" customWidth="1"/>
    <col min="12780" max="12780" width="9" style="6"/>
    <col min="12781" max="12781" width="9.08203125" style="6" bestFit="1" customWidth="1"/>
    <col min="12782" max="12782" width="33.25" style="6" customWidth="1"/>
    <col min="12783" max="12783" width="3.75" style="6" customWidth="1"/>
    <col min="12784" max="13012" width="9" style="6"/>
    <col min="13013" max="13013" width="3.33203125" style="6" customWidth="1"/>
    <col min="13014" max="13014" width="7.75" style="6" bestFit="1" customWidth="1"/>
    <col min="13015" max="13015" width="4.5" style="6" customWidth="1"/>
    <col min="13016" max="13016" width="9.33203125" style="6" bestFit="1" customWidth="1"/>
    <col min="13017" max="13018" width="8.83203125" style="6" customWidth="1"/>
    <col min="13019" max="13035" width="0" style="6" hidden="1" customWidth="1"/>
    <col min="13036" max="13036" width="9" style="6"/>
    <col min="13037" max="13037" width="9.08203125" style="6" bestFit="1" customWidth="1"/>
    <col min="13038" max="13038" width="33.25" style="6" customWidth="1"/>
    <col min="13039" max="13039" width="3.75" style="6" customWidth="1"/>
    <col min="13040" max="13268" width="9" style="6"/>
    <col min="13269" max="13269" width="3.33203125" style="6" customWidth="1"/>
    <col min="13270" max="13270" width="7.75" style="6" bestFit="1" customWidth="1"/>
    <col min="13271" max="13271" width="4.5" style="6" customWidth="1"/>
    <col min="13272" max="13272" width="9.33203125" style="6" bestFit="1" customWidth="1"/>
    <col min="13273" max="13274" width="8.83203125" style="6" customWidth="1"/>
    <col min="13275" max="13291" width="0" style="6" hidden="1" customWidth="1"/>
    <col min="13292" max="13292" width="9" style="6"/>
    <col min="13293" max="13293" width="9.08203125" style="6" bestFit="1" customWidth="1"/>
    <col min="13294" max="13294" width="33.25" style="6" customWidth="1"/>
    <col min="13295" max="13295" width="3.75" style="6" customWidth="1"/>
    <col min="13296" max="13524" width="9" style="6"/>
    <col min="13525" max="13525" width="3.33203125" style="6" customWidth="1"/>
    <col min="13526" max="13526" width="7.75" style="6" bestFit="1" customWidth="1"/>
    <col min="13527" max="13527" width="4.5" style="6" customWidth="1"/>
    <col min="13528" max="13528" width="9.33203125" style="6" bestFit="1" customWidth="1"/>
    <col min="13529" max="13530" width="8.83203125" style="6" customWidth="1"/>
    <col min="13531" max="13547" width="0" style="6" hidden="1" customWidth="1"/>
    <col min="13548" max="13548" width="9" style="6"/>
    <col min="13549" max="13549" width="9.08203125" style="6" bestFit="1" customWidth="1"/>
    <col min="13550" max="13550" width="33.25" style="6" customWidth="1"/>
    <col min="13551" max="13551" width="3.75" style="6" customWidth="1"/>
    <col min="13552" max="13780" width="9" style="6"/>
    <col min="13781" max="13781" width="3.33203125" style="6" customWidth="1"/>
    <col min="13782" max="13782" width="7.75" style="6" bestFit="1" customWidth="1"/>
    <col min="13783" max="13783" width="4.5" style="6" customWidth="1"/>
    <col min="13784" max="13784" width="9.33203125" style="6" bestFit="1" customWidth="1"/>
    <col min="13785" max="13786" width="8.83203125" style="6" customWidth="1"/>
    <col min="13787" max="13803" width="0" style="6" hidden="1" customWidth="1"/>
    <col min="13804" max="13804" width="9" style="6"/>
    <col min="13805" max="13805" width="9.08203125" style="6" bestFit="1" customWidth="1"/>
    <col min="13806" max="13806" width="33.25" style="6" customWidth="1"/>
    <col min="13807" max="13807" width="3.75" style="6" customWidth="1"/>
    <col min="13808" max="14036" width="9" style="6"/>
    <col min="14037" max="14037" width="3.33203125" style="6" customWidth="1"/>
    <col min="14038" max="14038" width="7.75" style="6" bestFit="1" customWidth="1"/>
    <col min="14039" max="14039" width="4.5" style="6" customWidth="1"/>
    <col min="14040" max="14040" width="9.33203125" style="6" bestFit="1" customWidth="1"/>
    <col min="14041" max="14042" width="8.83203125" style="6" customWidth="1"/>
    <col min="14043" max="14059" width="0" style="6" hidden="1" customWidth="1"/>
    <col min="14060" max="14060" width="9" style="6"/>
    <col min="14061" max="14061" width="9.08203125" style="6" bestFit="1" customWidth="1"/>
    <col min="14062" max="14062" width="33.25" style="6" customWidth="1"/>
    <col min="14063" max="14063" width="3.75" style="6" customWidth="1"/>
    <col min="14064" max="14292" width="9" style="6"/>
    <col min="14293" max="14293" width="3.33203125" style="6" customWidth="1"/>
    <col min="14294" max="14294" width="7.75" style="6" bestFit="1" customWidth="1"/>
    <col min="14295" max="14295" width="4.5" style="6" customWidth="1"/>
    <col min="14296" max="14296" width="9.33203125" style="6" bestFit="1" customWidth="1"/>
    <col min="14297" max="14298" width="8.83203125" style="6" customWidth="1"/>
    <col min="14299" max="14315" width="0" style="6" hidden="1" customWidth="1"/>
    <col min="14316" max="14316" width="9" style="6"/>
    <col min="14317" max="14317" width="9.08203125" style="6" bestFit="1" customWidth="1"/>
    <col min="14318" max="14318" width="33.25" style="6" customWidth="1"/>
    <col min="14319" max="14319" width="3.75" style="6" customWidth="1"/>
    <col min="14320" max="14548" width="9" style="6"/>
    <col min="14549" max="14549" width="3.33203125" style="6" customWidth="1"/>
    <col min="14550" max="14550" width="7.75" style="6" bestFit="1" customWidth="1"/>
    <col min="14551" max="14551" width="4.5" style="6" customWidth="1"/>
    <col min="14552" max="14552" width="9.33203125" style="6" bestFit="1" customWidth="1"/>
    <col min="14553" max="14554" width="8.83203125" style="6" customWidth="1"/>
    <col min="14555" max="14571" width="0" style="6" hidden="1" customWidth="1"/>
    <col min="14572" max="14572" width="9" style="6"/>
    <col min="14573" max="14573" width="9.08203125" style="6" bestFit="1" customWidth="1"/>
    <col min="14574" max="14574" width="33.25" style="6" customWidth="1"/>
    <col min="14575" max="14575" width="3.75" style="6" customWidth="1"/>
    <col min="14576" max="14804" width="9" style="6"/>
    <col min="14805" max="14805" width="3.33203125" style="6" customWidth="1"/>
    <col min="14806" max="14806" width="7.75" style="6" bestFit="1" customWidth="1"/>
    <col min="14807" max="14807" width="4.5" style="6" customWidth="1"/>
    <col min="14808" max="14808" width="9.33203125" style="6" bestFit="1" customWidth="1"/>
    <col min="14809" max="14810" width="8.83203125" style="6" customWidth="1"/>
    <col min="14811" max="14827" width="0" style="6" hidden="1" customWidth="1"/>
    <col min="14828" max="14828" width="9" style="6"/>
    <col min="14829" max="14829" width="9.08203125" style="6" bestFit="1" customWidth="1"/>
    <col min="14830" max="14830" width="33.25" style="6" customWidth="1"/>
    <col min="14831" max="14831" width="3.75" style="6" customWidth="1"/>
    <col min="14832" max="15060" width="9" style="6"/>
    <col min="15061" max="15061" width="3.33203125" style="6" customWidth="1"/>
    <col min="15062" max="15062" width="7.75" style="6" bestFit="1" customWidth="1"/>
    <col min="15063" max="15063" width="4.5" style="6" customWidth="1"/>
    <col min="15064" max="15064" width="9.33203125" style="6" bestFit="1" customWidth="1"/>
    <col min="15065" max="15066" width="8.83203125" style="6" customWidth="1"/>
    <col min="15067" max="15083" width="0" style="6" hidden="1" customWidth="1"/>
    <col min="15084" max="15084" width="9" style="6"/>
    <col min="15085" max="15085" width="9.08203125" style="6" bestFit="1" customWidth="1"/>
    <col min="15086" max="15086" width="33.25" style="6" customWidth="1"/>
    <col min="15087" max="15087" width="3.75" style="6" customWidth="1"/>
    <col min="15088" max="15316" width="9" style="6"/>
    <col min="15317" max="15317" width="3.33203125" style="6" customWidth="1"/>
    <col min="15318" max="15318" width="7.75" style="6" bestFit="1" customWidth="1"/>
    <col min="15319" max="15319" width="4.5" style="6" customWidth="1"/>
    <col min="15320" max="15320" width="9.33203125" style="6" bestFit="1" customWidth="1"/>
    <col min="15321" max="15322" width="8.83203125" style="6" customWidth="1"/>
    <col min="15323" max="15339" width="0" style="6" hidden="1" customWidth="1"/>
    <col min="15340" max="15340" width="9" style="6"/>
    <col min="15341" max="15341" width="9.08203125" style="6" bestFit="1" customWidth="1"/>
    <col min="15342" max="15342" width="33.25" style="6" customWidth="1"/>
    <col min="15343" max="15343" width="3.75" style="6" customWidth="1"/>
    <col min="15344" max="15572" width="9" style="6"/>
    <col min="15573" max="15573" width="3.33203125" style="6" customWidth="1"/>
    <col min="15574" max="15574" width="7.75" style="6" bestFit="1" customWidth="1"/>
    <col min="15575" max="15575" width="4.5" style="6" customWidth="1"/>
    <col min="15576" max="15576" width="9.33203125" style="6" bestFit="1" customWidth="1"/>
    <col min="15577" max="15578" width="8.83203125" style="6" customWidth="1"/>
    <col min="15579" max="15595" width="0" style="6" hidden="1" customWidth="1"/>
    <col min="15596" max="15596" width="9" style="6"/>
    <col min="15597" max="15597" width="9.08203125" style="6" bestFit="1" customWidth="1"/>
    <col min="15598" max="15598" width="33.25" style="6" customWidth="1"/>
    <col min="15599" max="15599" width="3.75" style="6" customWidth="1"/>
    <col min="15600" max="15828" width="9" style="6"/>
    <col min="15829" max="15829" width="3.33203125" style="6" customWidth="1"/>
    <col min="15830" max="15830" width="7.75" style="6" bestFit="1" customWidth="1"/>
    <col min="15831" max="15831" width="4.5" style="6" customWidth="1"/>
    <col min="15832" max="15832" width="9.33203125" style="6" bestFit="1" customWidth="1"/>
    <col min="15833" max="15834" width="8.83203125" style="6" customWidth="1"/>
    <col min="15835" max="15851" width="0" style="6" hidden="1" customWidth="1"/>
    <col min="15852" max="15852" width="9" style="6"/>
    <col min="15853" max="15853" width="9.08203125" style="6" bestFit="1" customWidth="1"/>
    <col min="15854" max="15854" width="33.25" style="6" customWidth="1"/>
    <col min="15855" max="15855" width="3.75" style="6" customWidth="1"/>
    <col min="15856" max="16084" width="9" style="6"/>
    <col min="16085" max="16085" width="3.33203125" style="6" customWidth="1"/>
    <col min="16086" max="16086" width="7.75" style="6" bestFit="1" customWidth="1"/>
    <col min="16087" max="16087" width="4.5" style="6" customWidth="1"/>
    <col min="16088" max="16088" width="9.33203125" style="6" bestFit="1" customWidth="1"/>
    <col min="16089" max="16090" width="8.83203125" style="6" customWidth="1"/>
    <col min="16091" max="16107" width="0" style="6" hidden="1" customWidth="1"/>
    <col min="16108" max="16108" width="9" style="6"/>
    <col min="16109" max="16109" width="9.08203125" style="6" bestFit="1" customWidth="1"/>
    <col min="16110" max="16110" width="33.25" style="6" customWidth="1"/>
    <col min="16111" max="16111" width="3.75" style="6" customWidth="1"/>
    <col min="16112" max="16384" width="9" style="6"/>
  </cols>
  <sheetData>
    <row r="1" spans="1:31" ht="29.25" customHeight="1">
      <c r="A1" s="1" t="s">
        <v>59</v>
      </c>
      <c r="B1" s="2"/>
      <c r="C1" s="2"/>
      <c r="D1" s="2"/>
      <c r="E1" s="2"/>
      <c r="F1" s="2"/>
      <c r="G1" s="2"/>
      <c r="H1" s="2"/>
      <c r="I1" s="2"/>
      <c r="J1" s="3"/>
      <c r="K1" s="3"/>
      <c r="L1" s="4"/>
      <c r="M1" s="4"/>
      <c r="N1" s="5" t="s">
        <v>1</v>
      </c>
      <c r="O1" s="76" t="s">
        <v>21</v>
      </c>
      <c r="P1" s="76"/>
      <c r="Q1" s="77"/>
      <c r="R1" s="34"/>
      <c r="S1" s="33"/>
      <c r="T1" s="56"/>
      <c r="U1" s="33"/>
      <c r="V1" s="33"/>
      <c r="W1" s="33"/>
      <c r="X1" s="64"/>
      <c r="Y1" s="34"/>
      <c r="Z1" s="34"/>
      <c r="AA1" s="34"/>
      <c r="AB1" s="34"/>
      <c r="AC1" s="34"/>
      <c r="AD1" s="34"/>
      <c r="AE1" s="34"/>
    </row>
    <row r="2" spans="1:31" ht="29.25" customHeight="1">
      <c r="A2" s="2"/>
      <c r="B2" s="2"/>
      <c r="C2" s="2"/>
      <c r="D2" s="2"/>
      <c r="E2" s="2"/>
      <c r="F2" s="2"/>
      <c r="G2" s="2"/>
      <c r="H2" s="2"/>
      <c r="I2" s="2"/>
      <c r="J2" s="3"/>
      <c r="K2" s="3"/>
      <c r="L2" s="4"/>
      <c r="M2" s="4"/>
      <c r="N2" s="5" t="s">
        <v>2</v>
      </c>
      <c r="O2" s="76"/>
      <c r="P2" s="76"/>
      <c r="Q2" s="77"/>
      <c r="R2" s="34"/>
      <c r="S2" s="33"/>
      <c r="T2" s="56"/>
      <c r="U2" s="33"/>
      <c r="V2" s="33"/>
      <c r="W2" s="33"/>
      <c r="X2" s="64"/>
      <c r="Y2" s="34"/>
      <c r="Z2" s="34"/>
      <c r="AA2" s="34"/>
      <c r="AB2" s="34"/>
      <c r="AC2" s="34"/>
      <c r="AD2" s="34"/>
      <c r="AE2" s="34"/>
    </row>
    <row r="3" spans="1:31" ht="8.25" customHeight="1">
      <c r="A3" s="8"/>
      <c r="B3" s="9"/>
      <c r="I3" s="11"/>
      <c r="J3" s="12"/>
      <c r="K3" s="12"/>
      <c r="L3" s="13"/>
      <c r="M3" s="13"/>
      <c r="N3" s="13"/>
      <c r="O3" s="13"/>
      <c r="P3" s="13"/>
      <c r="Q3" s="13"/>
      <c r="R3" s="34"/>
      <c r="S3" s="33"/>
      <c r="T3" s="56"/>
      <c r="U3" s="33"/>
      <c r="V3" s="33"/>
      <c r="W3" s="33"/>
      <c r="X3" s="64"/>
      <c r="Y3" s="34"/>
      <c r="Z3" s="34"/>
      <c r="AA3" s="34"/>
      <c r="AB3" s="34"/>
      <c r="AC3" s="34"/>
      <c r="AD3" s="34"/>
      <c r="AE3" s="34"/>
    </row>
    <row r="4" spans="1:31" ht="15" customHeight="1">
      <c r="A4" s="78">
        <v>46023</v>
      </c>
      <c r="B4" s="78"/>
      <c r="C4" s="14" t="s">
        <v>28</v>
      </c>
      <c r="D4" s="15"/>
      <c r="E4" s="15"/>
      <c r="F4" s="16"/>
      <c r="G4" s="11"/>
      <c r="I4" s="11"/>
      <c r="J4" s="12"/>
      <c r="K4" s="12"/>
      <c r="L4" s="17"/>
      <c r="M4" s="17"/>
      <c r="N4" s="17"/>
      <c r="O4" s="79"/>
      <c r="P4" s="114"/>
      <c r="Q4" s="114"/>
      <c r="R4" s="34"/>
      <c r="S4" s="33"/>
      <c r="T4" s="56"/>
      <c r="U4" s="33"/>
      <c r="V4" s="33"/>
      <c r="W4" s="33"/>
      <c r="X4" s="64"/>
      <c r="Y4" s="34"/>
      <c r="Z4" s="34"/>
      <c r="AA4" s="34"/>
      <c r="AB4" s="34"/>
      <c r="AC4" s="34"/>
      <c r="AD4" s="34"/>
      <c r="AE4" s="34"/>
    </row>
    <row r="5" spans="1:31" ht="19.5" customHeight="1">
      <c r="A5" s="18"/>
      <c r="I5" s="11"/>
      <c r="J5" s="12"/>
      <c r="K5" s="12"/>
      <c r="L5" s="17"/>
      <c r="M5" s="17"/>
      <c r="N5" s="17"/>
      <c r="O5" s="80"/>
      <c r="P5" s="114"/>
      <c r="Q5" s="115"/>
      <c r="R5" s="34"/>
      <c r="S5" s="33"/>
      <c r="T5" s="56"/>
      <c r="U5" s="33"/>
      <c r="V5" s="33"/>
      <c r="W5" s="33"/>
      <c r="X5" s="64"/>
      <c r="Y5" s="34"/>
      <c r="Z5" s="34"/>
      <c r="AA5" s="34"/>
      <c r="AB5" s="34"/>
      <c r="AC5" s="34"/>
      <c r="AD5" s="34"/>
      <c r="AE5" s="34"/>
    </row>
    <row r="6" spans="1:31" ht="23.25" customHeight="1">
      <c r="A6" s="83" t="s">
        <v>3</v>
      </c>
      <c r="B6" s="84" t="s">
        <v>4</v>
      </c>
      <c r="C6" s="85" t="s">
        <v>5</v>
      </c>
      <c r="D6" s="85" t="s">
        <v>6</v>
      </c>
      <c r="E6" s="86" t="s">
        <v>16</v>
      </c>
      <c r="F6" s="75" t="s">
        <v>14</v>
      </c>
      <c r="G6" s="73" t="s">
        <v>55</v>
      </c>
      <c r="H6" s="74" t="s">
        <v>51</v>
      </c>
      <c r="I6" s="88" t="s">
        <v>7</v>
      </c>
      <c r="J6" s="89" t="s">
        <v>52</v>
      </c>
      <c r="K6" s="90" t="s">
        <v>19</v>
      </c>
      <c r="L6" s="19" t="s">
        <v>8</v>
      </c>
      <c r="M6" s="92" t="s">
        <v>13</v>
      </c>
      <c r="N6" s="92"/>
      <c r="O6" s="92"/>
      <c r="P6" s="92"/>
      <c r="Q6" s="92"/>
      <c r="R6" s="34"/>
      <c r="S6" s="33"/>
      <c r="T6" s="56"/>
      <c r="U6" s="33"/>
      <c r="V6" s="33"/>
      <c r="W6" s="33"/>
      <c r="X6" s="64"/>
      <c r="Y6" s="34"/>
      <c r="Z6" s="34"/>
      <c r="AA6" s="34"/>
      <c r="AB6" s="34"/>
      <c r="AC6" s="34"/>
      <c r="AD6" s="34"/>
      <c r="AE6" s="34"/>
    </row>
    <row r="7" spans="1:31" ht="24" customHeight="1">
      <c r="A7" s="83"/>
      <c r="B7" s="84"/>
      <c r="C7" s="85"/>
      <c r="D7" s="85"/>
      <c r="E7" s="87"/>
      <c r="F7" s="75"/>
      <c r="G7" s="73"/>
      <c r="H7" s="74"/>
      <c r="I7" s="88"/>
      <c r="J7" s="89"/>
      <c r="K7" s="91"/>
      <c r="L7" s="20" t="s">
        <v>12</v>
      </c>
      <c r="M7" s="92"/>
      <c r="N7" s="92"/>
      <c r="O7" s="92"/>
      <c r="P7" s="92"/>
      <c r="Q7" s="92"/>
      <c r="R7" s="34"/>
      <c r="S7" s="33"/>
      <c r="T7" s="56"/>
      <c r="U7" s="33"/>
      <c r="V7" s="33"/>
      <c r="W7" s="33"/>
      <c r="X7" s="64"/>
      <c r="Y7" s="34"/>
      <c r="Z7" s="34"/>
      <c r="AA7" s="34"/>
      <c r="AB7" s="34"/>
      <c r="AC7" s="34"/>
      <c r="AD7" s="34"/>
      <c r="AE7" s="34"/>
    </row>
    <row r="8" spans="1:31" ht="16" customHeight="1">
      <c r="A8" s="21">
        <f>A4</f>
        <v>46023</v>
      </c>
      <c r="B8" s="22">
        <f>A8</f>
        <v>46023</v>
      </c>
      <c r="C8" s="44"/>
      <c r="D8" s="45"/>
      <c r="E8" s="44">
        <f t="shared" ref="E8:E38" si="0">IF(D8&lt;C8,1+D8-C8,D8-C8)</f>
        <v>0</v>
      </c>
      <c r="F8" s="46">
        <f>IF(E8&lt;"6:00"*1,0,IF(E8&lt;"7:00"*1,45,IF(E8&lt;"7:45"*1,45,60)))/24/60</f>
        <v>0</v>
      </c>
      <c r="G8" s="47"/>
      <c r="H8" s="47"/>
      <c r="I8" s="48" t="str">
        <f t="shared" ref="I8:I38" si="1">IF((D8-C8-F8-G8)&lt;&gt;0,(D8-C8-F8-G8),"")</f>
        <v/>
      </c>
      <c r="J8" s="49" t="str">
        <f>IFERROR(HOUR(I8)+MINUTE(I8)/60,"")</f>
        <v/>
      </c>
      <c r="K8" s="49" t="str">
        <f>IFERROR(MAX(0, J8 - 8),"")</f>
        <v/>
      </c>
      <c r="L8" s="50"/>
      <c r="M8" s="72"/>
      <c r="N8" s="72"/>
      <c r="O8" s="72"/>
      <c r="P8" s="72"/>
      <c r="Q8" s="72"/>
      <c r="R8" s="34"/>
      <c r="S8" s="33"/>
      <c r="T8" s="57">
        <v>46023</v>
      </c>
      <c r="U8" s="52"/>
      <c r="V8" s="53" t="s">
        <v>30</v>
      </c>
      <c r="W8" s="33"/>
      <c r="X8" s="64"/>
      <c r="Y8" s="34"/>
      <c r="Z8" s="34"/>
      <c r="AA8" s="34"/>
      <c r="AB8" s="34"/>
      <c r="AC8" s="34"/>
      <c r="AD8" s="34"/>
      <c r="AE8" s="34"/>
    </row>
    <row r="9" spans="1:31" ht="16" customHeight="1">
      <c r="A9" s="21">
        <f>A8+1</f>
        <v>46024</v>
      </c>
      <c r="B9" s="22">
        <f t="shared" ref="B9:B38" si="2">A9</f>
        <v>46024</v>
      </c>
      <c r="C9" s="44"/>
      <c r="D9" s="44"/>
      <c r="E9" s="44">
        <f t="shared" si="0"/>
        <v>0</v>
      </c>
      <c r="F9" s="46">
        <f t="shared" ref="F9:F38" si="3">IF(E9&lt;"6:00"*1,0,IF(E9&lt;"7:00"*1,45,IF(E9&lt;"7:45"*1,45,60)))/24/60</f>
        <v>0</v>
      </c>
      <c r="G9" s="47"/>
      <c r="H9" s="47"/>
      <c r="I9" s="48" t="str">
        <f t="shared" si="1"/>
        <v/>
      </c>
      <c r="J9" s="49" t="str">
        <f>IFERROR(HOUR(I9)+MINUTE(I9)/60,"")</f>
        <v/>
      </c>
      <c r="K9" s="49" t="str">
        <f t="shared" ref="K9:K38" si="4">IFERROR(MAX(0, J9 - 8),"")</f>
        <v/>
      </c>
      <c r="L9" s="51"/>
      <c r="M9" s="72"/>
      <c r="N9" s="72"/>
      <c r="O9" s="72"/>
      <c r="P9" s="72"/>
      <c r="Q9" s="72"/>
      <c r="R9" s="34"/>
      <c r="S9" s="33" t="s">
        <v>62</v>
      </c>
      <c r="T9" s="57">
        <v>46024</v>
      </c>
      <c r="U9" s="52"/>
      <c r="V9" s="53" t="s">
        <v>31</v>
      </c>
      <c r="W9" s="33"/>
      <c r="X9" s="64"/>
      <c r="Y9" s="34"/>
      <c r="Z9" s="34"/>
      <c r="AA9" s="34"/>
      <c r="AB9" s="34"/>
      <c r="AC9" s="34"/>
      <c r="AD9" s="34"/>
      <c r="AE9" s="34"/>
    </row>
    <row r="10" spans="1:31" ht="16" customHeight="1">
      <c r="A10" s="21">
        <f t="shared" ref="A10:A35" si="5">A9+1</f>
        <v>46025</v>
      </c>
      <c r="B10" s="22">
        <f t="shared" si="2"/>
        <v>46025</v>
      </c>
      <c r="C10" s="44"/>
      <c r="D10" s="44"/>
      <c r="E10" s="44">
        <f t="shared" si="0"/>
        <v>0</v>
      </c>
      <c r="F10" s="46">
        <f t="shared" si="3"/>
        <v>0</v>
      </c>
      <c r="G10" s="47"/>
      <c r="H10" s="47"/>
      <c r="I10" s="48" t="str">
        <f t="shared" si="1"/>
        <v/>
      </c>
      <c r="J10" s="49" t="str">
        <f>IFERROR(HOUR(I10)+MINUTE(I10)/60,"")</f>
        <v/>
      </c>
      <c r="K10" s="49" t="str">
        <f t="shared" si="4"/>
        <v/>
      </c>
      <c r="L10" s="51"/>
      <c r="M10" s="72"/>
      <c r="N10" s="72"/>
      <c r="O10" s="72"/>
      <c r="P10" s="72"/>
      <c r="Q10" s="72"/>
      <c r="R10" s="34"/>
      <c r="S10" s="33" t="s">
        <v>63</v>
      </c>
      <c r="T10" s="57">
        <v>46025</v>
      </c>
      <c r="U10" s="52"/>
      <c r="V10" s="53" t="s">
        <v>31</v>
      </c>
      <c r="W10" s="33"/>
      <c r="X10" s="64"/>
      <c r="Y10" s="34"/>
      <c r="Z10" s="34"/>
      <c r="AA10" s="34"/>
      <c r="AB10" s="34"/>
      <c r="AC10" s="34"/>
      <c r="AD10" s="34"/>
      <c r="AE10" s="34"/>
    </row>
    <row r="11" spans="1:31" ht="16" customHeight="1">
      <c r="A11" s="21">
        <f t="shared" si="5"/>
        <v>46026</v>
      </c>
      <c r="B11" s="22">
        <f t="shared" si="2"/>
        <v>46026</v>
      </c>
      <c r="C11" s="45"/>
      <c r="D11" s="45"/>
      <c r="E11" s="44">
        <f t="shared" si="0"/>
        <v>0</v>
      </c>
      <c r="F11" s="46">
        <f t="shared" si="3"/>
        <v>0</v>
      </c>
      <c r="G11" s="47"/>
      <c r="H11" s="47"/>
      <c r="I11" s="48" t="str">
        <f t="shared" si="1"/>
        <v/>
      </c>
      <c r="J11" s="49" t="str">
        <f>IFERROR(HOUR(I11)+MINUTE(I11)/60,"")</f>
        <v/>
      </c>
      <c r="K11" s="49" t="str">
        <f t="shared" si="4"/>
        <v/>
      </c>
      <c r="L11" s="51"/>
      <c r="M11" s="72"/>
      <c r="N11" s="72"/>
      <c r="O11" s="72"/>
      <c r="P11" s="72"/>
      <c r="Q11" s="72"/>
      <c r="R11" s="34"/>
      <c r="S11" s="33"/>
      <c r="T11" s="57">
        <v>46034</v>
      </c>
      <c r="U11" s="52"/>
      <c r="V11" s="53" t="s">
        <v>32</v>
      </c>
      <c r="W11" s="33"/>
      <c r="X11" s="64"/>
      <c r="Y11" s="34"/>
      <c r="Z11" s="34"/>
      <c r="AA11" s="34"/>
      <c r="AB11" s="34"/>
      <c r="AC11" s="34"/>
      <c r="AD11" s="34"/>
      <c r="AE11" s="34"/>
    </row>
    <row r="12" spans="1:31" ht="16" customHeight="1">
      <c r="A12" s="21">
        <f t="shared" si="5"/>
        <v>46027</v>
      </c>
      <c r="B12" s="22">
        <f t="shared" si="2"/>
        <v>46027</v>
      </c>
      <c r="C12" s="44"/>
      <c r="D12" s="44"/>
      <c r="E12" s="44">
        <f t="shared" si="0"/>
        <v>0</v>
      </c>
      <c r="F12" s="46">
        <f t="shared" si="3"/>
        <v>0</v>
      </c>
      <c r="G12" s="47"/>
      <c r="H12" s="47"/>
      <c r="I12" s="48" t="str">
        <f t="shared" si="1"/>
        <v/>
      </c>
      <c r="J12" s="49" t="str">
        <f t="shared" ref="J12:J38" si="6">IFERROR(HOUR(I12)+MINUTE(I12)/60,"")</f>
        <v/>
      </c>
      <c r="K12" s="49" t="str">
        <f t="shared" si="4"/>
        <v/>
      </c>
      <c r="L12" s="50"/>
      <c r="M12" s="72" t="s">
        <v>63</v>
      </c>
      <c r="N12" s="72"/>
      <c r="O12" s="72"/>
      <c r="P12" s="72"/>
      <c r="Q12" s="72"/>
      <c r="R12" s="34"/>
      <c r="S12" s="33"/>
      <c r="T12" s="57">
        <v>46064</v>
      </c>
      <c r="U12" s="52"/>
      <c r="V12" s="53" t="s">
        <v>33</v>
      </c>
      <c r="W12" s="33"/>
      <c r="X12" s="64"/>
      <c r="Y12" s="34"/>
      <c r="Z12" s="34"/>
      <c r="AA12" s="34"/>
      <c r="AB12" s="34"/>
      <c r="AC12" s="34"/>
      <c r="AD12" s="34"/>
      <c r="AE12" s="34"/>
    </row>
    <row r="13" spans="1:31" ht="16" customHeight="1">
      <c r="A13" s="21">
        <f t="shared" si="5"/>
        <v>46028</v>
      </c>
      <c r="B13" s="22">
        <f t="shared" si="2"/>
        <v>46028</v>
      </c>
      <c r="C13" s="44">
        <v>0.375</v>
      </c>
      <c r="D13" s="44">
        <v>0.86388888888888893</v>
      </c>
      <c r="E13" s="44">
        <f t="shared" si="0"/>
        <v>0.48888888888888893</v>
      </c>
      <c r="F13" s="46">
        <f t="shared" si="3"/>
        <v>4.1666666666666664E-2</v>
      </c>
      <c r="G13" s="47">
        <v>3.125E-2</v>
      </c>
      <c r="H13" s="47"/>
      <c r="I13" s="48">
        <f t="shared" si="1"/>
        <v>0.41597222222222224</v>
      </c>
      <c r="J13" s="49">
        <f>IFERROR(HOUR(I13)+MINUTE(I13)/60,"")</f>
        <v>9.9833333333333325</v>
      </c>
      <c r="K13" s="49">
        <f t="shared" si="4"/>
        <v>1.9833333333333325</v>
      </c>
      <c r="L13" s="50" t="s">
        <v>60</v>
      </c>
      <c r="M13" s="72"/>
      <c r="N13" s="72"/>
      <c r="O13" s="72"/>
      <c r="P13" s="72"/>
      <c r="Q13" s="72"/>
      <c r="R13" s="34"/>
      <c r="S13" s="33"/>
      <c r="T13" s="57">
        <v>46076</v>
      </c>
      <c r="U13" s="52"/>
      <c r="V13" s="53" t="s">
        <v>34</v>
      </c>
      <c r="W13" s="33"/>
      <c r="X13" s="64"/>
      <c r="Y13" s="34"/>
      <c r="Z13" s="34"/>
      <c r="AA13" s="34"/>
      <c r="AB13" s="34"/>
      <c r="AC13" s="34"/>
      <c r="AD13" s="34"/>
      <c r="AE13" s="34"/>
    </row>
    <row r="14" spans="1:31" ht="16" customHeight="1">
      <c r="A14" s="21">
        <f t="shared" si="5"/>
        <v>46029</v>
      </c>
      <c r="B14" s="22">
        <f t="shared" si="2"/>
        <v>46029</v>
      </c>
      <c r="C14" s="44">
        <v>0.375</v>
      </c>
      <c r="D14" s="44">
        <v>0.82361111111111107</v>
      </c>
      <c r="E14" s="44">
        <f t="shared" si="0"/>
        <v>0.44861111111111107</v>
      </c>
      <c r="F14" s="46">
        <f>IF(E14&lt;"6:00"*1,0,IF(E14&lt;"7:00"*1,45,IF(E14&lt;"7:45"*1,45,60)))/24/60</f>
        <v>4.1666666666666664E-2</v>
      </c>
      <c r="G14" s="47"/>
      <c r="H14" s="47"/>
      <c r="I14" s="48">
        <f t="shared" si="1"/>
        <v>0.40694444444444439</v>
      </c>
      <c r="J14" s="49">
        <f t="shared" si="6"/>
        <v>9.7666666666666675</v>
      </c>
      <c r="K14" s="49">
        <f t="shared" si="4"/>
        <v>1.7666666666666675</v>
      </c>
      <c r="L14" s="50" t="s">
        <v>60</v>
      </c>
      <c r="M14" s="72"/>
      <c r="N14" s="72"/>
      <c r="O14" s="72"/>
      <c r="P14" s="72"/>
      <c r="Q14" s="72"/>
      <c r="R14" s="34"/>
      <c r="S14" s="33"/>
      <c r="T14" s="57">
        <v>46101</v>
      </c>
      <c r="U14" s="52"/>
      <c r="V14" s="53" t="s">
        <v>35</v>
      </c>
      <c r="W14" s="33"/>
      <c r="X14" s="64"/>
      <c r="Y14" s="34"/>
      <c r="Z14" s="34"/>
      <c r="AA14" s="34"/>
      <c r="AB14" s="34"/>
      <c r="AC14" s="34"/>
      <c r="AD14" s="34"/>
      <c r="AE14" s="34"/>
    </row>
    <row r="15" spans="1:31" ht="16" customHeight="1">
      <c r="A15" s="21">
        <f t="shared" si="5"/>
        <v>46030</v>
      </c>
      <c r="B15" s="22">
        <f t="shared" si="2"/>
        <v>46030</v>
      </c>
      <c r="C15" s="44">
        <v>0.375</v>
      </c>
      <c r="D15" s="44">
        <v>0.75</v>
      </c>
      <c r="E15" s="44">
        <f t="shared" si="0"/>
        <v>0.375</v>
      </c>
      <c r="F15" s="46">
        <f t="shared" si="3"/>
        <v>4.1666666666666664E-2</v>
      </c>
      <c r="G15" s="47"/>
      <c r="H15" s="47"/>
      <c r="I15" s="48">
        <f t="shared" si="1"/>
        <v>0.33333333333333331</v>
      </c>
      <c r="J15" s="49">
        <f t="shared" si="6"/>
        <v>8</v>
      </c>
      <c r="K15" s="49">
        <f t="shared" si="4"/>
        <v>0</v>
      </c>
      <c r="L15" s="50" t="s">
        <v>61</v>
      </c>
      <c r="M15" s="72"/>
      <c r="N15" s="72"/>
      <c r="O15" s="72"/>
      <c r="P15" s="72"/>
      <c r="Q15" s="72"/>
      <c r="R15" s="34"/>
      <c r="S15" s="33"/>
      <c r="T15" s="57">
        <v>46141</v>
      </c>
      <c r="U15" s="52"/>
      <c r="V15" s="53" t="s">
        <v>36</v>
      </c>
      <c r="W15" s="33"/>
      <c r="X15" s="64"/>
      <c r="Y15" s="34"/>
      <c r="Z15" s="34"/>
      <c r="AA15" s="34"/>
      <c r="AB15" s="34"/>
      <c r="AC15" s="34"/>
      <c r="AD15" s="34"/>
      <c r="AE15" s="34"/>
    </row>
    <row r="16" spans="1:31" ht="16" customHeight="1">
      <c r="A16" s="21">
        <f t="shared" si="5"/>
        <v>46031</v>
      </c>
      <c r="B16" s="22">
        <f t="shared" si="2"/>
        <v>46031</v>
      </c>
      <c r="C16" s="44">
        <v>0.375</v>
      </c>
      <c r="D16" s="44">
        <v>0.75</v>
      </c>
      <c r="E16" s="44">
        <f t="shared" si="0"/>
        <v>0.375</v>
      </c>
      <c r="F16" s="46">
        <f t="shared" si="3"/>
        <v>4.1666666666666664E-2</v>
      </c>
      <c r="G16" s="47"/>
      <c r="H16" s="47"/>
      <c r="I16" s="48">
        <f t="shared" si="1"/>
        <v>0.33333333333333331</v>
      </c>
      <c r="J16" s="49">
        <f t="shared" si="6"/>
        <v>8</v>
      </c>
      <c r="K16" s="49">
        <f t="shared" si="4"/>
        <v>0</v>
      </c>
      <c r="L16" s="51" t="s">
        <v>11</v>
      </c>
      <c r="M16" s="72"/>
      <c r="N16" s="72"/>
      <c r="O16" s="72"/>
      <c r="P16" s="72"/>
      <c r="Q16" s="72"/>
      <c r="R16" s="34"/>
      <c r="S16" s="33"/>
      <c r="T16" s="57">
        <v>46145</v>
      </c>
      <c r="U16" s="52"/>
      <c r="V16" s="53" t="s">
        <v>37</v>
      </c>
      <c r="W16" s="33"/>
      <c r="X16" s="64"/>
      <c r="Y16" s="34"/>
      <c r="Z16" s="34"/>
      <c r="AA16" s="34"/>
      <c r="AB16" s="34"/>
      <c r="AC16" s="34"/>
      <c r="AD16" s="34"/>
      <c r="AE16" s="34"/>
    </row>
    <row r="17" spans="1:31" ht="16" customHeight="1">
      <c r="A17" s="21">
        <f t="shared" si="5"/>
        <v>46032</v>
      </c>
      <c r="B17" s="22">
        <f t="shared" si="2"/>
        <v>46032</v>
      </c>
      <c r="C17" s="44"/>
      <c r="D17" s="44"/>
      <c r="E17" s="44">
        <f t="shared" si="0"/>
        <v>0</v>
      </c>
      <c r="F17" s="46">
        <f t="shared" si="3"/>
        <v>0</v>
      </c>
      <c r="G17" s="47"/>
      <c r="H17" s="47"/>
      <c r="I17" s="48" t="str">
        <f t="shared" si="1"/>
        <v/>
      </c>
      <c r="J17" s="49" t="str">
        <f t="shared" si="6"/>
        <v/>
      </c>
      <c r="K17" s="49" t="str">
        <f t="shared" si="4"/>
        <v/>
      </c>
      <c r="L17" s="51"/>
      <c r="M17" s="72"/>
      <c r="N17" s="72"/>
      <c r="O17" s="72"/>
      <c r="P17" s="72"/>
      <c r="Q17" s="72"/>
      <c r="R17" s="34"/>
      <c r="S17" s="33"/>
      <c r="T17" s="57">
        <v>46146</v>
      </c>
      <c r="U17" s="52"/>
      <c r="V17" s="53" t="s">
        <v>38</v>
      </c>
      <c r="W17" s="33"/>
      <c r="X17" s="64"/>
      <c r="Y17" s="34"/>
      <c r="Z17" s="34"/>
      <c r="AA17" s="34"/>
      <c r="AB17" s="34"/>
      <c r="AC17" s="34"/>
      <c r="AD17" s="34"/>
      <c r="AE17" s="34"/>
    </row>
    <row r="18" spans="1:31" ht="16" customHeight="1">
      <c r="A18" s="21">
        <f t="shared" si="5"/>
        <v>46033</v>
      </c>
      <c r="B18" s="22">
        <f t="shared" si="2"/>
        <v>46033</v>
      </c>
      <c r="C18" s="45"/>
      <c r="D18" s="45"/>
      <c r="E18" s="44">
        <f t="shared" si="0"/>
        <v>0</v>
      </c>
      <c r="F18" s="46">
        <f t="shared" si="3"/>
        <v>0</v>
      </c>
      <c r="G18" s="47"/>
      <c r="H18" s="47"/>
      <c r="I18" s="48" t="str">
        <f t="shared" si="1"/>
        <v/>
      </c>
      <c r="J18" s="49" t="str">
        <f t="shared" si="6"/>
        <v/>
      </c>
      <c r="K18" s="49" t="str">
        <f t="shared" si="4"/>
        <v/>
      </c>
      <c r="L18" s="51"/>
      <c r="M18" s="72"/>
      <c r="N18" s="72"/>
      <c r="O18" s="72"/>
      <c r="P18" s="72"/>
      <c r="Q18" s="72"/>
      <c r="R18" s="34"/>
      <c r="S18" s="33"/>
      <c r="T18" s="57">
        <v>46147</v>
      </c>
      <c r="U18" s="52"/>
      <c r="V18" s="53" t="s">
        <v>39</v>
      </c>
      <c r="W18" s="33"/>
      <c r="X18" s="64"/>
      <c r="Y18" s="34"/>
      <c r="Z18" s="34"/>
      <c r="AA18" s="34"/>
      <c r="AB18" s="34"/>
      <c r="AC18" s="34"/>
      <c r="AD18" s="34"/>
      <c r="AE18" s="34"/>
    </row>
    <row r="19" spans="1:31" ht="16" customHeight="1">
      <c r="A19" s="21">
        <f t="shared" si="5"/>
        <v>46034</v>
      </c>
      <c r="B19" s="22">
        <f t="shared" si="2"/>
        <v>46034</v>
      </c>
      <c r="C19" s="45">
        <v>0.41666666666666669</v>
      </c>
      <c r="D19" s="45">
        <v>0.76388888888888884</v>
      </c>
      <c r="E19" s="44">
        <f t="shared" si="0"/>
        <v>0.34722222222222215</v>
      </c>
      <c r="F19" s="46">
        <f t="shared" si="3"/>
        <v>4.1666666666666664E-2</v>
      </c>
      <c r="G19" s="47"/>
      <c r="H19" s="47"/>
      <c r="I19" s="48">
        <f t="shared" si="1"/>
        <v>0.30555555555555547</v>
      </c>
      <c r="J19" s="49">
        <f t="shared" si="6"/>
        <v>7.333333333333333</v>
      </c>
      <c r="K19" s="49">
        <f t="shared" si="4"/>
        <v>0</v>
      </c>
      <c r="L19" s="51"/>
      <c r="M19" s="72"/>
      <c r="N19" s="72"/>
      <c r="O19" s="72"/>
      <c r="P19" s="72"/>
      <c r="Q19" s="72"/>
      <c r="R19" s="34"/>
      <c r="S19" s="33"/>
      <c r="T19" s="57">
        <v>46148</v>
      </c>
      <c r="U19" s="52"/>
      <c r="V19" s="53" t="s">
        <v>40</v>
      </c>
      <c r="W19" s="33"/>
      <c r="X19" s="64"/>
      <c r="Y19" s="34"/>
      <c r="Z19" s="34"/>
      <c r="AA19" s="34"/>
      <c r="AB19" s="34"/>
      <c r="AC19" s="34"/>
      <c r="AD19" s="34"/>
      <c r="AE19" s="34"/>
    </row>
    <row r="20" spans="1:31" ht="16" customHeight="1">
      <c r="A20" s="21">
        <f t="shared" si="5"/>
        <v>46035</v>
      </c>
      <c r="B20" s="22">
        <f t="shared" si="2"/>
        <v>46035</v>
      </c>
      <c r="C20" s="45">
        <v>0.375</v>
      </c>
      <c r="D20" s="45">
        <v>0.79166666666666696</v>
      </c>
      <c r="E20" s="44">
        <f t="shared" si="0"/>
        <v>0.41666666666666696</v>
      </c>
      <c r="F20" s="46">
        <f t="shared" si="3"/>
        <v>4.1666666666666664E-2</v>
      </c>
      <c r="G20" s="47"/>
      <c r="H20" s="47">
        <v>0.33333333333333331</v>
      </c>
      <c r="I20" s="48">
        <f t="shared" si="1"/>
        <v>0.37500000000000028</v>
      </c>
      <c r="J20" s="49">
        <f t="shared" si="6"/>
        <v>9</v>
      </c>
      <c r="K20" s="49">
        <f t="shared" si="4"/>
        <v>1</v>
      </c>
      <c r="L20" s="51"/>
      <c r="M20" s="72" t="s">
        <v>65</v>
      </c>
      <c r="N20" s="72"/>
      <c r="O20" s="72"/>
      <c r="P20" s="72"/>
      <c r="Q20" s="72"/>
      <c r="R20" s="34"/>
      <c r="S20" s="33"/>
      <c r="T20" s="57">
        <v>46223</v>
      </c>
      <c r="U20" s="52"/>
      <c r="V20" s="53" t="s">
        <v>41</v>
      </c>
      <c r="W20" s="33"/>
      <c r="X20" s="64"/>
      <c r="Y20" s="34"/>
      <c r="Z20" s="34"/>
      <c r="AA20" s="34"/>
      <c r="AB20" s="34"/>
      <c r="AC20" s="34"/>
      <c r="AD20" s="34"/>
      <c r="AE20" s="34"/>
    </row>
    <row r="21" spans="1:31" ht="16" customHeight="1">
      <c r="A21" s="21">
        <f t="shared" si="5"/>
        <v>46036</v>
      </c>
      <c r="B21" s="22">
        <f t="shared" si="2"/>
        <v>46036</v>
      </c>
      <c r="C21" s="45">
        <v>0.375</v>
      </c>
      <c r="D21" s="45">
        <v>0.75</v>
      </c>
      <c r="E21" s="44">
        <f t="shared" si="0"/>
        <v>0.375</v>
      </c>
      <c r="F21" s="46">
        <f t="shared" si="3"/>
        <v>4.1666666666666664E-2</v>
      </c>
      <c r="G21" s="47"/>
      <c r="H21" s="47"/>
      <c r="I21" s="48">
        <f t="shared" si="1"/>
        <v>0.33333333333333331</v>
      </c>
      <c r="J21" s="49">
        <f t="shared" si="6"/>
        <v>8</v>
      </c>
      <c r="K21" s="49">
        <f t="shared" si="4"/>
        <v>0</v>
      </c>
      <c r="L21" s="51"/>
      <c r="M21" s="72"/>
      <c r="N21" s="72"/>
      <c r="O21" s="72"/>
      <c r="P21" s="72"/>
      <c r="Q21" s="72"/>
      <c r="R21" s="34"/>
      <c r="S21" s="33"/>
      <c r="T21" s="57">
        <v>46245</v>
      </c>
      <c r="U21" s="52"/>
      <c r="V21" s="53" t="s">
        <v>42</v>
      </c>
      <c r="W21" s="33"/>
      <c r="X21" s="64"/>
      <c r="Y21" s="34"/>
      <c r="Z21" s="34"/>
      <c r="AA21" s="34"/>
      <c r="AB21" s="34"/>
      <c r="AC21" s="34"/>
      <c r="AD21" s="34"/>
      <c r="AE21" s="34"/>
    </row>
    <row r="22" spans="1:31" ht="16" customHeight="1">
      <c r="A22" s="21">
        <f t="shared" si="5"/>
        <v>46037</v>
      </c>
      <c r="B22" s="22">
        <f t="shared" si="2"/>
        <v>46037</v>
      </c>
      <c r="C22" s="45">
        <v>0.375</v>
      </c>
      <c r="D22" s="45">
        <v>0.82361111111111107</v>
      </c>
      <c r="E22" s="44">
        <f t="shared" si="0"/>
        <v>0.44861111111111107</v>
      </c>
      <c r="F22" s="46">
        <f t="shared" si="3"/>
        <v>4.1666666666666664E-2</v>
      </c>
      <c r="G22" s="47"/>
      <c r="H22" s="47"/>
      <c r="I22" s="48">
        <f t="shared" si="1"/>
        <v>0.40694444444444439</v>
      </c>
      <c r="J22" s="49">
        <f t="shared" si="6"/>
        <v>9.7666666666666675</v>
      </c>
      <c r="K22" s="49">
        <f t="shared" si="4"/>
        <v>1.7666666666666675</v>
      </c>
      <c r="L22" s="51"/>
      <c r="M22" s="72"/>
      <c r="N22" s="72"/>
      <c r="O22" s="72"/>
      <c r="P22" s="72"/>
      <c r="Q22" s="72"/>
      <c r="R22" s="34"/>
      <c r="S22" s="33"/>
      <c r="T22" s="57">
        <v>46286</v>
      </c>
      <c r="U22" s="52"/>
      <c r="V22" s="53" t="s">
        <v>43</v>
      </c>
      <c r="W22" s="33"/>
      <c r="X22" s="64"/>
      <c r="Y22" s="34"/>
      <c r="Z22" s="34"/>
      <c r="AA22" s="34"/>
      <c r="AB22" s="34"/>
      <c r="AC22" s="34"/>
      <c r="AD22" s="34"/>
      <c r="AE22" s="34"/>
    </row>
    <row r="23" spans="1:31" ht="16" customHeight="1">
      <c r="A23" s="21">
        <f t="shared" si="5"/>
        <v>46038</v>
      </c>
      <c r="B23" s="22">
        <f t="shared" si="2"/>
        <v>46038</v>
      </c>
      <c r="C23" s="44">
        <v>0.375</v>
      </c>
      <c r="D23" s="44">
        <v>0.75</v>
      </c>
      <c r="E23" s="44">
        <f t="shared" si="0"/>
        <v>0.375</v>
      </c>
      <c r="F23" s="46">
        <f t="shared" si="3"/>
        <v>4.1666666666666664E-2</v>
      </c>
      <c r="G23" s="47"/>
      <c r="H23" s="47"/>
      <c r="I23" s="48">
        <f t="shared" si="1"/>
        <v>0.33333333333333331</v>
      </c>
      <c r="J23" s="49">
        <f t="shared" si="6"/>
        <v>8</v>
      </c>
      <c r="K23" s="49">
        <f t="shared" si="4"/>
        <v>0</v>
      </c>
      <c r="L23" s="51"/>
      <c r="M23" s="72"/>
      <c r="N23" s="72"/>
      <c r="O23" s="72"/>
      <c r="P23" s="72"/>
      <c r="Q23" s="72"/>
      <c r="R23" s="34"/>
      <c r="S23" s="33"/>
      <c r="T23" s="57">
        <v>46287</v>
      </c>
      <c r="U23" s="52"/>
      <c r="V23" s="53" t="s">
        <v>44</v>
      </c>
      <c r="W23" s="33"/>
      <c r="X23" s="64"/>
      <c r="Y23" s="34"/>
      <c r="Z23" s="34"/>
      <c r="AA23" s="34"/>
      <c r="AB23" s="34"/>
      <c r="AC23" s="34"/>
      <c r="AD23" s="34"/>
      <c r="AE23" s="34"/>
    </row>
    <row r="24" spans="1:31" ht="16" customHeight="1">
      <c r="A24" s="21">
        <f t="shared" si="5"/>
        <v>46039</v>
      </c>
      <c r="B24" s="22">
        <f t="shared" si="2"/>
        <v>46039</v>
      </c>
      <c r="C24" s="44"/>
      <c r="D24" s="44"/>
      <c r="E24" s="44">
        <f t="shared" si="0"/>
        <v>0</v>
      </c>
      <c r="F24" s="46">
        <f t="shared" si="3"/>
        <v>0</v>
      </c>
      <c r="G24" s="47"/>
      <c r="H24" s="47"/>
      <c r="I24" s="48" t="str">
        <f t="shared" si="1"/>
        <v/>
      </c>
      <c r="J24" s="49" t="str">
        <f>IFERROR(HOUR(I24)+MINUTE(I24)/60,"")</f>
        <v/>
      </c>
      <c r="K24" s="49" t="str">
        <f>IFERROR(MAX(0, J24 - 8),"")</f>
        <v/>
      </c>
      <c r="L24" s="51"/>
      <c r="M24" s="72"/>
      <c r="N24" s="72"/>
      <c r="O24" s="72"/>
      <c r="P24" s="72"/>
      <c r="Q24" s="72"/>
      <c r="R24" s="34"/>
      <c r="S24" s="33"/>
      <c r="T24" s="57">
        <v>46288</v>
      </c>
      <c r="U24" s="52"/>
      <c r="V24" s="53" t="s">
        <v>45</v>
      </c>
      <c r="W24" s="33"/>
      <c r="X24" s="64"/>
      <c r="Y24" s="34"/>
      <c r="Z24" s="34"/>
      <c r="AA24" s="34"/>
      <c r="AB24" s="34"/>
      <c r="AC24" s="34"/>
      <c r="AD24" s="34"/>
      <c r="AE24" s="34"/>
    </row>
    <row r="25" spans="1:31" ht="16" customHeight="1">
      <c r="A25" s="21">
        <f t="shared" si="5"/>
        <v>46040</v>
      </c>
      <c r="B25" s="22">
        <f t="shared" si="2"/>
        <v>46040</v>
      </c>
      <c r="C25" s="44"/>
      <c r="D25" s="44"/>
      <c r="E25" s="44">
        <f t="shared" si="0"/>
        <v>0</v>
      </c>
      <c r="F25" s="46">
        <f t="shared" si="3"/>
        <v>0</v>
      </c>
      <c r="G25" s="47"/>
      <c r="H25" s="47"/>
      <c r="I25" s="48" t="str">
        <f t="shared" si="1"/>
        <v/>
      </c>
      <c r="J25" s="49" t="str">
        <f>IFERROR(HOUR(I25)+MINUTE(I25)/60,"")</f>
        <v/>
      </c>
      <c r="K25" s="49" t="str">
        <f t="shared" si="4"/>
        <v/>
      </c>
      <c r="L25" s="50"/>
      <c r="M25" s="72"/>
      <c r="N25" s="72"/>
      <c r="O25" s="72"/>
      <c r="P25" s="72"/>
      <c r="Q25" s="72"/>
      <c r="R25" s="34"/>
      <c r="S25" s="33"/>
      <c r="T25" s="57">
        <v>46307</v>
      </c>
      <c r="U25" s="52"/>
      <c r="V25" s="53" t="s">
        <v>46</v>
      </c>
      <c r="W25" s="33"/>
      <c r="X25" s="64"/>
      <c r="Y25" s="34"/>
      <c r="Z25" s="34"/>
      <c r="AA25" s="34"/>
      <c r="AB25" s="34"/>
      <c r="AC25" s="34"/>
      <c r="AD25" s="34"/>
      <c r="AE25" s="34"/>
    </row>
    <row r="26" spans="1:31" ht="16" customHeight="1">
      <c r="A26" s="21">
        <f t="shared" si="5"/>
        <v>46041</v>
      </c>
      <c r="B26" s="22">
        <f t="shared" si="2"/>
        <v>46041</v>
      </c>
      <c r="C26" s="44">
        <v>0.375</v>
      </c>
      <c r="D26" s="44">
        <v>0.88611111111111107</v>
      </c>
      <c r="E26" s="44">
        <f t="shared" si="0"/>
        <v>0.51111111111111107</v>
      </c>
      <c r="F26" s="46">
        <f t="shared" si="3"/>
        <v>4.1666666666666664E-2</v>
      </c>
      <c r="G26" s="47"/>
      <c r="H26" s="47"/>
      <c r="I26" s="48">
        <f t="shared" si="1"/>
        <v>0.46944444444444439</v>
      </c>
      <c r="J26" s="49">
        <f t="shared" si="6"/>
        <v>11.266666666666667</v>
      </c>
      <c r="K26" s="49">
        <f t="shared" si="4"/>
        <v>3.2666666666666675</v>
      </c>
      <c r="L26" s="50" t="s">
        <v>60</v>
      </c>
      <c r="M26" s="72"/>
      <c r="N26" s="72"/>
      <c r="O26" s="72"/>
      <c r="P26" s="72"/>
      <c r="Q26" s="72"/>
      <c r="R26" s="34"/>
      <c r="S26" s="33"/>
      <c r="T26" s="57">
        <v>46329</v>
      </c>
      <c r="U26" s="52"/>
      <c r="V26" s="53" t="s">
        <v>47</v>
      </c>
      <c r="W26" s="33"/>
      <c r="X26" s="64"/>
      <c r="Y26" s="34"/>
      <c r="Z26" s="34"/>
      <c r="AA26" s="34"/>
      <c r="AB26" s="34"/>
      <c r="AC26" s="34"/>
      <c r="AD26" s="34"/>
      <c r="AE26" s="34"/>
    </row>
    <row r="27" spans="1:31" ht="16" customHeight="1">
      <c r="A27" s="21">
        <f>A26+1</f>
        <v>46042</v>
      </c>
      <c r="B27" s="22">
        <f t="shared" si="2"/>
        <v>46042</v>
      </c>
      <c r="C27" s="44">
        <v>0.375</v>
      </c>
      <c r="D27" s="44">
        <v>0.75</v>
      </c>
      <c r="E27" s="44">
        <f t="shared" si="0"/>
        <v>0.375</v>
      </c>
      <c r="F27" s="46">
        <f t="shared" si="3"/>
        <v>4.1666666666666664E-2</v>
      </c>
      <c r="G27" s="47"/>
      <c r="H27" s="47"/>
      <c r="I27" s="48">
        <f t="shared" si="1"/>
        <v>0.33333333333333331</v>
      </c>
      <c r="J27" s="49">
        <f>IFERROR(HOUR(I27)+MINUTE(I27)/60,"")</f>
        <v>8</v>
      </c>
      <c r="K27" s="49">
        <f t="shared" si="4"/>
        <v>0</v>
      </c>
      <c r="L27" s="51" t="s">
        <v>11</v>
      </c>
      <c r="M27" s="72"/>
      <c r="N27" s="72"/>
      <c r="O27" s="72"/>
      <c r="P27" s="72"/>
      <c r="Q27" s="72"/>
      <c r="R27" s="34"/>
      <c r="S27" s="33"/>
      <c r="T27" s="57">
        <v>46349</v>
      </c>
      <c r="U27" s="52"/>
      <c r="V27" s="53" t="s">
        <v>31</v>
      </c>
      <c r="W27" s="33"/>
      <c r="X27" s="64"/>
      <c r="Y27" s="34"/>
      <c r="Z27" s="34"/>
      <c r="AA27" s="34"/>
      <c r="AB27" s="34"/>
      <c r="AC27" s="34"/>
      <c r="AD27" s="34"/>
      <c r="AE27" s="34"/>
    </row>
    <row r="28" spans="1:31" ht="16" customHeight="1">
      <c r="A28" s="21">
        <f t="shared" si="5"/>
        <v>46043</v>
      </c>
      <c r="B28" s="22">
        <f t="shared" si="2"/>
        <v>46043</v>
      </c>
      <c r="C28" s="44">
        <v>0.375</v>
      </c>
      <c r="D28" s="44">
        <v>0.75</v>
      </c>
      <c r="E28" s="44">
        <f t="shared" si="0"/>
        <v>0.375</v>
      </c>
      <c r="F28" s="46">
        <f t="shared" si="3"/>
        <v>4.1666666666666664E-2</v>
      </c>
      <c r="G28" s="47"/>
      <c r="H28" s="47"/>
      <c r="I28" s="48">
        <f t="shared" si="1"/>
        <v>0.33333333333333331</v>
      </c>
      <c r="J28" s="49">
        <f t="shared" si="6"/>
        <v>8</v>
      </c>
      <c r="K28" s="49">
        <f t="shared" si="4"/>
        <v>0</v>
      </c>
      <c r="L28" s="51" t="s">
        <v>11</v>
      </c>
      <c r="M28" s="72"/>
      <c r="N28" s="72"/>
      <c r="O28" s="72"/>
      <c r="P28" s="72"/>
      <c r="Q28" s="72"/>
      <c r="R28" s="34"/>
      <c r="S28" s="33"/>
      <c r="T28" s="57">
        <v>46384</v>
      </c>
      <c r="U28" s="52"/>
      <c r="V28" s="53" t="s">
        <v>31</v>
      </c>
      <c r="W28" s="33"/>
      <c r="X28" s="64"/>
      <c r="Y28" s="34"/>
      <c r="Z28" s="34"/>
      <c r="AA28" s="34"/>
      <c r="AB28" s="34"/>
      <c r="AC28" s="34"/>
      <c r="AD28" s="34"/>
      <c r="AE28" s="34"/>
    </row>
    <row r="29" spans="1:31" ht="16" customHeight="1">
      <c r="A29" s="21">
        <f t="shared" si="5"/>
        <v>46044</v>
      </c>
      <c r="B29" s="22">
        <f t="shared" si="2"/>
        <v>46044</v>
      </c>
      <c r="C29" s="44">
        <v>0.375</v>
      </c>
      <c r="D29" s="44">
        <v>0.75</v>
      </c>
      <c r="E29" s="44">
        <f t="shared" si="0"/>
        <v>0.375</v>
      </c>
      <c r="F29" s="46">
        <f t="shared" si="3"/>
        <v>4.1666666666666664E-2</v>
      </c>
      <c r="G29" s="47"/>
      <c r="H29" s="47"/>
      <c r="I29" s="48">
        <f t="shared" si="1"/>
        <v>0.33333333333333331</v>
      </c>
      <c r="J29" s="49">
        <f>IFERROR(HOUR(I29)+MINUTE(I29)/60,"")</f>
        <v>8</v>
      </c>
      <c r="K29" s="49">
        <f t="shared" si="4"/>
        <v>0</v>
      </c>
      <c r="L29" s="50" t="s">
        <v>60</v>
      </c>
      <c r="M29" s="72"/>
      <c r="N29" s="72"/>
      <c r="O29" s="72"/>
      <c r="P29" s="72"/>
      <c r="Q29" s="72"/>
      <c r="R29" s="34"/>
      <c r="S29" s="33"/>
      <c r="T29" s="57">
        <v>46385</v>
      </c>
      <c r="U29" s="52"/>
      <c r="V29" s="53" t="s">
        <v>31</v>
      </c>
      <c r="W29" s="33"/>
      <c r="X29" s="64"/>
      <c r="Y29" s="34"/>
      <c r="Z29" s="34"/>
      <c r="AA29" s="34"/>
      <c r="AB29" s="34"/>
      <c r="AC29" s="34"/>
      <c r="AD29" s="34"/>
      <c r="AE29" s="34"/>
    </row>
    <row r="30" spans="1:31" ht="16" customHeight="1">
      <c r="A30" s="21">
        <f t="shared" si="5"/>
        <v>46045</v>
      </c>
      <c r="B30" s="22">
        <f t="shared" si="2"/>
        <v>46045</v>
      </c>
      <c r="C30" s="44">
        <v>0.375</v>
      </c>
      <c r="D30" s="44">
        <v>0.88611111111111107</v>
      </c>
      <c r="E30" s="44">
        <f>IF(D30&lt;C30,1+D30-C30,D30-C30)</f>
        <v>0.51111111111111107</v>
      </c>
      <c r="F30" s="46">
        <f>IF(E30&lt;"6:00"*1,0,IF(E30&lt;"7:00"*1,45,IF(E30&lt;"7:45"*1,45,60)))/24/60</f>
        <v>4.1666666666666664E-2</v>
      </c>
      <c r="G30" s="47"/>
      <c r="H30" s="47"/>
      <c r="I30" s="48">
        <f t="shared" si="1"/>
        <v>0.46944444444444439</v>
      </c>
      <c r="J30" s="49">
        <f t="shared" si="6"/>
        <v>11.266666666666667</v>
      </c>
      <c r="K30" s="49">
        <f t="shared" si="4"/>
        <v>3.2666666666666675</v>
      </c>
      <c r="L30" s="50" t="s">
        <v>60</v>
      </c>
      <c r="M30" s="72"/>
      <c r="N30" s="72"/>
      <c r="O30" s="72"/>
      <c r="P30" s="72"/>
      <c r="Q30" s="72"/>
      <c r="R30" s="34"/>
      <c r="S30" s="33"/>
      <c r="T30" s="57">
        <v>46386</v>
      </c>
      <c r="U30" s="33"/>
      <c r="V30" s="33"/>
      <c r="W30" s="33"/>
      <c r="X30" s="64"/>
      <c r="Y30" s="34"/>
      <c r="Z30" s="34"/>
      <c r="AA30" s="34"/>
      <c r="AB30" s="34"/>
      <c r="AC30" s="34"/>
      <c r="AD30" s="34"/>
      <c r="AE30" s="34"/>
    </row>
    <row r="31" spans="1:31" ht="16" customHeight="1">
      <c r="A31" s="21">
        <f t="shared" si="5"/>
        <v>46046</v>
      </c>
      <c r="B31" s="22">
        <f t="shared" si="2"/>
        <v>46046</v>
      </c>
      <c r="C31" s="44"/>
      <c r="D31" s="44"/>
      <c r="E31" s="44">
        <f t="shared" si="0"/>
        <v>0</v>
      </c>
      <c r="F31" s="46">
        <f t="shared" si="3"/>
        <v>0</v>
      </c>
      <c r="G31" s="47"/>
      <c r="H31" s="47"/>
      <c r="I31" s="48" t="str">
        <f t="shared" si="1"/>
        <v/>
      </c>
      <c r="J31" s="49" t="str">
        <f t="shared" si="6"/>
        <v/>
      </c>
      <c r="K31" s="49" t="str">
        <f t="shared" si="4"/>
        <v/>
      </c>
      <c r="L31" s="51"/>
      <c r="M31" s="72"/>
      <c r="N31" s="72"/>
      <c r="O31" s="72"/>
      <c r="P31" s="72"/>
      <c r="Q31" s="72"/>
      <c r="R31" s="34"/>
      <c r="S31" s="33"/>
      <c r="T31" s="57">
        <v>46387</v>
      </c>
      <c r="U31" s="33"/>
      <c r="V31" s="33"/>
      <c r="W31" s="33"/>
      <c r="X31" s="64"/>
      <c r="Y31" s="34"/>
      <c r="Z31" s="34"/>
      <c r="AA31" s="34"/>
      <c r="AB31" s="34"/>
      <c r="AC31" s="34"/>
      <c r="AD31" s="34"/>
      <c r="AE31" s="34"/>
    </row>
    <row r="32" spans="1:31" ht="16" customHeight="1">
      <c r="A32" s="21">
        <f t="shared" si="5"/>
        <v>46047</v>
      </c>
      <c r="B32" s="22">
        <f>A32</f>
        <v>46047</v>
      </c>
      <c r="C32" s="44"/>
      <c r="D32" s="44"/>
      <c r="E32" s="44">
        <f t="shared" si="0"/>
        <v>0</v>
      </c>
      <c r="F32" s="46">
        <f t="shared" si="3"/>
        <v>0</v>
      </c>
      <c r="G32" s="47"/>
      <c r="H32" s="47"/>
      <c r="I32" s="48" t="str">
        <f t="shared" si="1"/>
        <v/>
      </c>
      <c r="J32" s="49" t="str">
        <f t="shared" si="6"/>
        <v/>
      </c>
      <c r="K32" s="49" t="str">
        <f t="shared" si="4"/>
        <v/>
      </c>
      <c r="L32" s="51"/>
      <c r="M32" s="72"/>
      <c r="N32" s="72"/>
      <c r="O32" s="72"/>
      <c r="P32" s="72"/>
      <c r="Q32" s="72"/>
      <c r="R32" s="34"/>
      <c r="S32" s="33"/>
      <c r="T32" s="57"/>
      <c r="U32" s="33"/>
      <c r="V32" s="33"/>
      <c r="W32" s="33"/>
      <c r="X32" s="64"/>
      <c r="Y32" s="34"/>
      <c r="Z32" s="34"/>
      <c r="AA32" s="34"/>
      <c r="AB32" s="34"/>
      <c r="AC32" s="34"/>
      <c r="AD32" s="34"/>
      <c r="AE32" s="34"/>
    </row>
    <row r="33" spans="1:31" ht="16" customHeight="1">
      <c r="A33" s="21">
        <f t="shared" si="5"/>
        <v>46048</v>
      </c>
      <c r="B33" s="22">
        <f t="shared" si="2"/>
        <v>46048</v>
      </c>
      <c r="C33" s="44">
        <v>0.375</v>
      </c>
      <c r="D33" s="44">
        <v>0.79166666666666696</v>
      </c>
      <c r="E33" s="44">
        <f t="shared" si="0"/>
        <v>0.41666666666666696</v>
      </c>
      <c r="F33" s="46">
        <f t="shared" si="3"/>
        <v>4.1666666666666664E-2</v>
      </c>
      <c r="G33" s="47"/>
      <c r="H33" s="47"/>
      <c r="I33" s="48">
        <f t="shared" si="1"/>
        <v>0.37500000000000028</v>
      </c>
      <c r="J33" s="49">
        <f>IFERROR(HOUR(I33)+MINUTE(I33)/60,"")</f>
        <v>9</v>
      </c>
      <c r="K33" s="49">
        <f t="shared" si="4"/>
        <v>1</v>
      </c>
      <c r="L33" s="50" t="s">
        <v>60</v>
      </c>
      <c r="M33" s="72"/>
      <c r="N33" s="72"/>
      <c r="O33" s="72"/>
      <c r="P33" s="72"/>
      <c r="Q33" s="72"/>
      <c r="R33" s="34"/>
      <c r="S33" s="33"/>
      <c r="T33" s="56"/>
      <c r="U33" s="33"/>
      <c r="V33" s="33"/>
      <c r="W33" s="33"/>
      <c r="X33" s="64"/>
      <c r="Y33" s="34"/>
      <c r="Z33" s="34"/>
      <c r="AA33" s="34"/>
      <c r="AB33" s="34"/>
      <c r="AC33" s="34"/>
      <c r="AD33" s="34"/>
      <c r="AE33" s="34"/>
    </row>
    <row r="34" spans="1:31" ht="16" customHeight="1">
      <c r="A34" s="21">
        <f t="shared" si="5"/>
        <v>46049</v>
      </c>
      <c r="B34" s="22">
        <f t="shared" si="2"/>
        <v>46049</v>
      </c>
      <c r="C34" s="44">
        <v>0.375</v>
      </c>
      <c r="D34" s="44">
        <v>0.75</v>
      </c>
      <c r="E34" s="44">
        <f t="shared" si="0"/>
        <v>0.375</v>
      </c>
      <c r="F34" s="46">
        <f t="shared" si="3"/>
        <v>4.1666666666666664E-2</v>
      </c>
      <c r="G34" s="47"/>
      <c r="H34" s="47"/>
      <c r="I34" s="48">
        <f t="shared" si="1"/>
        <v>0.33333333333333331</v>
      </c>
      <c r="J34" s="49">
        <f t="shared" si="6"/>
        <v>8</v>
      </c>
      <c r="K34" s="49">
        <f t="shared" si="4"/>
        <v>0</v>
      </c>
      <c r="L34" s="50" t="s">
        <v>60</v>
      </c>
      <c r="M34" s="72"/>
      <c r="N34" s="72"/>
      <c r="O34" s="72"/>
      <c r="P34" s="72"/>
      <c r="Q34" s="72"/>
      <c r="R34" s="34"/>
      <c r="S34" s="33"/>
      <c r="T34" s="56"/>
      <c r="U34" s="33"/>
      <c r="V34" s="33"/>
      <c r="W34" s="33"/>
      <c r="X34" s="64"/>
      <c r="Y34" s="34"/>
      <c r="Z34" s="34"/>
      <c r="AA34" s="34"/>
      <c r="AB34" s="34"/>
      <c r="AC34" s="34"/>
      <c r="AD34" s="34"/>
      <c r="AE34" s="34"/>
    </row>
    <row r="35" spans="1:31" ht="16" customHeight="1">
      <c r="A35" s="21">
        <f t="shared" si="5"/>
        <v>46050</v>
      </c>
      <c r="B35" s="22">
        <f t="shared" si="2"/>
        <v>46050</v>
      </c>
      <c r="C35" s="44">
        <v>0.375</v>
      </c>
      <c r="D35" s="44">
        <v>0.82361111111111107</v>
      </c>
      <c r="E35" s="44">
        <f t="shared" si="0"/>
        <v>0.44861111111111107</v>
      </c>
      <c r="F35" s="46">
        <f t="shared" si="3"/>
        <v>4.1666666666666664E-2</v>
      </c>
      <c r="G35" s="47"/>
      <c r="H35" s="47"/>
      <c r="I35" s="48">
        <f t="shared" si="1"/>
        <v>0.40694444444444439</v>
      </c>
      <c r="J35" s="49">
        <f>IFERROR(HOUR(I35)+MINUTE(I35)/60,"")</f>
        <v>9.7666666666666675</v>
      </c>
      <c r="K35" s="49">
        <f t="shared" si="4"/>
        <v>1.7666666666666675</v>
      </c>
      <c r="L35" s="51"/>
      <c r="M35" s="72"/>
      <c r="N35" s="72"/>
      <c r="O35" s="72"/>
      <c r="P35" s="72"/>
      <c r="Q35" s="72"/>
      <c r="R35" s="34"/>
      <c r="S35" s="33"/>
      <c r="T35" s="56"/>
      <c r="U35" s="33"/>
      <c r="V35" s="33"/>
      <c r="W35" s="33"/>
      <c r="X35" s="64"/>
      <c r="Y35" s="34"/>
      <c r="Z35" s="34"/>
      <c r="AA35" s="34"/>
      <c r="AB35" s="34"/>
      <c r="AC35" s="34"/>
      <c r="AD35" s="34"/>
      <c r="AE35" s="34"/>
    </row>
    <row r="36" spans="1:31" ht="16" customHeight="1">
      <c r="A36" s="36">
        <f>IF(MONTH($A$4)=MONTH(A35+1),A35+1,"")</f>
        <v>46051</v>
      </c>
      <c r="B36" s="22">
        <f t="shared" si="2"/>
        <v>46051</v>
      </c>
      <c r="C36" s="44">
        <v>0.375</v>
      </c>
      <c r="D36" s="44">
        <v>0.5</v>
      </c>
      <c r="E36" s="44">
        <f t="shared" si="0"/>
        <v>0.125</v>
      </c>
      <c r="F36" s="46">
        <f t="shared" si="3"/>
        <v>0</v>
      </c>
      <c r="G36" s="47"/>
      <c r="H36" s="47">
        <v>0.16666666666666666</v>
      </c>
      <c r="I36" s="48">
        <f t="shared" si="1"/>
        <v>0.125</v>
      </c>
      <c r="J36" s="49">
        <f t="shared" si="6"/>
        <v>3</v>
      </c>
      <c r="K36" s="49">
        <f t="shared" si="4"/>
        <v>0</v>
      </c>
      <c r="L36" s="51"/>
      <c r="M36" s="72" t="s">
        <v>64</v>
      </c>
      <c r="N36" s="72"/>
      <c r="O36" s="72"/>
      <c r="P36" s="72"/>
      <c r="Q36" s="72"/>
      <c r="R36" s="34"/>
      <c r="S36" s="33"/>
      <c r="T36" s="56"/>
      <c r="U36" s="33"/>
      <c r="V36" s="33"/>
      <c r="W36" s="33"/>
      <c r="X36" s="64"/>
      <c r="Y36" s="34"/>
      <c r="Z36" s="34"/>
      <c r="AA36" s="34"/>
      <c r="AB36" s="34"/>
      <c r="AC36" s="34"/>
      <c r="AD36" s="34"/>
      <c r="AE36" s="34"/>
    </row>
    <row r="37" spans="1:31" ht="16" customHeight="1">
      <c r="A37" s="36">
        <f>IF(MONTH($A$4)=MONTH(A35+2),A35+2,"")</f>
        <v>46052</v>
      </c>
      <c r="B37" s="22">
        <f t="shared" si="2"/>
        <v>46052</v>
      </c>
      <c r="C37" s="44">
        <v>0.375</v>
      </c>
      <c r="D37" s="44">
        <v>0.75</v>
      </c>
      <c r="E37" s="44">
        <f t="shared" si="0"/>
        <v>0.375</v>
      </c>
      <c r="F37" s="46">
        <f t="shared" si="3"/>
        <v>4.1666666666666664E-2</v>
      </c>
      <c r="G37" s="47"/>
      <c r="H37" s="47"/>
      <c r="I37" s="48">
        <f t="shared" si="1"/>
        <v>0.33333333333333331</v>
      </c>
      <c r="J37" s="49">
        <f>IFERROR(HOUR(I37)+MINUTE(I37)/60,"")</f>
        <v>8</v>
      </c>
      <c r="K37" s="49">
        <f t="shared" si="4"/>
        <v>0</v>
      </c>
      <c r="L37" s="51"/>
      <c r="M37" s="72"/>
      <c r="N37" s="72"/>
      <c r="O37" s="72"/>
      <c r="P37" s="72"/>
      <c r="Q37" s="72"/>
      <c r="R37" s="34"/>
      <c r="S37" s="33"/>
      <c r="T37" s="56"/>
      <c r="U37" s="33"/>
      <c r="V37" s="33"/>
      <c r="W37" s="33"/>
      <c r="X37" s="64"/>
      <c r="Y37" s="34"/>
      <c r="Z37" s="34"/>
      <c r="AA37" s="34"/>
      <c r="AB37" s="34"/>
      <c r="AC37" s="34"/>
      <c r="AD37" s="34"/>
      <c r="AE37" s="34"/>
    </row>
    <row r="38" spans="1:31" ht="16" customHeight="1">
      <c r="A38" s="36">
        <f>IF(MONTH($A$4)=MONTH(A35+3),A35+3,"")</f>
        <v>46053</v>
      </c>
      <c r="B38" s="22">
        <f t="shared" si="2"/>
        <v>46053</v>
      </c>
      <c r="C38" s="44"/>
      <c r="D38" s="44"/>
      <c r="E38" s="44">
        <f t="shared" si="0"/>
        <v>0</v>
      </c>
      <c r="F38" s="46">
        <f t="shared" si="3"/>
        <v>0</v>
      </c>
      <c r="G38" s="47"/>
      <c r="H38" s="47"/>
      <c r="I38" s="48" t="str">
        <f t="shared" si="1"/>
        <v/>
      </c>
      <c r="J38" s="49" t="str">
        <f t="shared" si="6"/>
        <v/>
      </c>
      <c r="K38" s="49" t="str">
        <f t="shared" si="4"/>
        <v/>
      </c>
      <c r="L38" s="51"/>
      <c r="M38" s="72"/>
      <c r="N38" s="72"/>
      <c r="O38" s="72"/>
      <c r="P38" s="72"/>
      <c r="Q38" s="72"/>
      <c r="R38" s="34"/>
      <c r="S38" s="33"/>
      <c r="T38" s="56"/>
      <c r="U38" s="33"/>
      <c r="V38" s="33"/>
      <c r="W38" s="33"/>
      <c r="X38" s="64"/>
      <c r="Y38" s="34"/>
      <c r="Z38" s="34"/>
      <c r="AA38" s="34"/>
      <c r="AB38" s="34"/>
      <c r="AC38" s="34"/>
      <c r="AD38" s="34"/>
      <c r="AE38" s="34"/>
    </row>
    <row r="39" spans="1:31" s="23" customFormat="1">
      <c r="A39" s="93" t="s">
        <v>9</v>
      </c>
      <c r="B39" s="93"/>
      <c r="D39" s="24"/>
      <c r="E39" s="24"/>
      <c r="G39" s="25">
        <f>SUM(G8:G38)</f>
        <v>3.125E-2</v>
      </c>
      <c r="H39" s="25">
        <f>SUM(H8:H38)</f>
        <v>0.5</v>
      </c>
      <c r="I39" s="26"/>
      <c r="J39" s="26"/>
      <c r="K39" s="26"/>
      <c r="O39" s="27"/>
      <c r="P39" s="27"/>
      <c r="Q39" s="27"/>
      <c r="R39" s="39"/>
      <c r="S39" s="54"/>
      <c r="T39" s="67"/>
      <c r="U39" s="54"/>
      <c r="V39" s="54"/>
      <c r="W39" s="54"/>
      <c r="X39" s="65"/>
      <c r="Y39" s="39"/>
      <c r="Z39" s="39"/>
      <c r="AA39" s="39"/>
      <c r="AB39" s="39"/>
      <c r="AC39" s="39"/>
      <c r="AD39" s="39"/>
      <c r="AE39" s="39"/>
    </row>
    <row r="40" spans="1:31" s="23" customFormat="1" ht="23.25" customHeight="1">
      <c r="A40" s="94" t="s">
        <v>48</v>
      </c>
      <c r="B40" s="94"/>
      <c r="C40" s="28">
        <f>COUNTA(D8:D38)</f>
        <v>19</v>
      </c>
      <c r="D40" s="95" t="s">
        <v>29</v>
      </c>
      <c r="E40" s="96"/>
      <c r="F40" s="97"/>
      <c r="G40" s="29">
        <f>SUM(J8:J38)</f>
        <v>162.15</v>
      </c>
      <c r="H40" s="102" t="s">
        <v>20</v>
      </c>
      <c r="I40" s="103"/>
      <c r="J40" s="104"/>
      <c r="K40" s="30">
        <f>SUM(K8:K38)</f>
        <v>15.81666666666667</v>
      </c>
      <c r="L40" s="105" t="s">
        <v>58</v>
      </c>
      <c r="M40" s="106"/>
      <c r="N40" s="30">
        <f>MAX(0, K40-10)</f>
        <v>5.81666666666667</v>
      </c>
      <c r="O40" s="107" t="s">
        <v>15</v>
      </c>
      <c r="P40" s="108"/>
      <c r="Q40" s="31">
        <f>COUNTIF(L8:L38, "在宅")</f>
        <v>3</v>
      </c>
      <c r="R40" s="40"/>
      <c r="S40" s="54"/>
      <c r="T40" s="67"/>
      <c r="U40" s="54"/>
      <c r="V40" s="54"/>
      <c r="W40" s="54"/>
      <c r="X40" s="65"/>
      <c r="Y40" s="39"/>
      <c r="Z40" s="39"/>
      <c r="AA40" s="39"/>
      <c r="AB40" s="39"/>
      <c r="AC40" s="39"/>
      <c r="AD40" s="39"/>
      <c r="AE40" s="39"/>
    </row>
    <row r="41" spans="1:31" s="23" customFormat="1" ht="21.75" customHeight="1">
      <c r="A41" s="94" t="s">
        <v>49</v>
      </c>
      <c r="B41" s="94"/>
      <c r="C41" s="28" cm="1">
        <f t="array" ref="C41">NETWORKDAYS(DATE(YEAR(A4),MONTH(A4),1),EOMONTH(A4,0),$T$3:$T$38)-SUMPRODUCT(COUNTIF(M8:M38,{"メモリアル休暇","客先休業"}))</f>
        <v>18</v>
      </c>
      <c r="D41" s="95" t="s">
        <v>50</v>
      </c>
      <c r="E41" s="96"/>
      <c r="F41" s="97"/>
      <c r="G41" s="32">
        <f>C41*8</f>
        <v>144</v>
      </c>
      <c r="H41" s="98" t="s">
        <v>54</v>
      </c>
      <c r="I41" s="99"/>
      <c r="J41" s="100"/>
      <c r="K41" s="30">
        <f>MAX(0, G41-G40)</f>
        <v>0</v>
      </c>
      <c r="L41" s="101" t="s">
        <v>53</v>
      </c>
      <c r="M41" s="101"/>
      <c r="N41" s="37">
        <f>H39*24</f>
        <v>12</v>
      </c>
      <c r="O41" s="109" t="s">
        <v>56</v>
      </c>
      <c r="P41" s="110"/>
      <c r="Q41" s="38">
        <f>MAX(0, K41-N41)</f>
        <v>0</v>
      </c>
      <c r="R41" s="40"/>
      <c r="S41" s="55"/>
      <c r="T41" s="68"/>
      <c r="U41" s="54"/>
      <c r="V41" s="54"/>
      <c r="W41" s="54"/>
      <c r="X41" s="65"/>
      <c r="Y41" s="39"/>
      <c r="Z41" s="39"/>
      <c r="AA41" s="39"/>
      <c r="AB41" s="39"/>
      <c r="AC41" s="39"/>
      <c r="AD41" s="39"/>
      <c r="AE41" s="39"/>
    </row>
    <row r="42" spans="1:31" s="7" customFormat="1">
      <c r="A42" s="33" t="s">
        <v>21</v>
      </c>
      <c r="B42" s="33" t="s">
        <v>22</v>
      </c>
      <c r="C42" s="33" t="s">
        <v>23</v>
      </c>
      <c r="D42" s="33" t="s">
        <v>24</v>
      </c>
      <c r="E42" s="33" t="s">
        <v>25</v>
      </c>
      <c r="F42" s="33" t="s">
        <v>26</v>
      </c>
      <c r="G42" s="33" t="s">
        <v>27</v>
      </c>
      <c r="H42" s="33"/>
      <c r="I42" s="33"/>
      <c r="J42" s="41"/>
      <c r="K42" s="41"/>
      <c r="L42" s="42"/>
      <c r="M42" s="42"/>
      <c r="N42" s="42"/>
      <c r="O42" s="42"/>
      <c r="P42" s="42"/>
      <c r="Q42" s="42"/>
      <c r="T42" s="59"/>
      <c r="X42" s="66"/>
    </row>
    <row r="43" spans="1:31">
      <c r="A43" s="34"/>
    </row>
    <row r="44" spans="1:31">
      <c r="A44" s="43" t="s">
        <v>10</v>
      </c>
    </row>
    <row r="45" spans="1:31">
      <c r="A45" s="43" t="s">
        <v>18</v>
      </c>
    </row>
    <row r="46" spans="1:31">
      <c r="A46" s="43" t="s">
        <v>17</v>
      </c>
    </row>
    <row r="47" spans="1:31">
      <c r="A47" s="34"/>
    </row>
  </sheetData>
  <sheetProtection algorithmName="SHA-512" hashValue="QfXJCGjFGBy7PVwKfVBnfO+uNY49Y+ZI+hqxACLZYtvkPZuq5/2kgtxgMb6me04LQ7XztOHmwBZXnKdpVAEr4A==" saltValue="HHkN/wAS+SM1kknvuNK0dw==" spinCount="100000" sheet="1" objects="1" scenarios="1"/>
  <protectedRanges>
    <protectedRange algorithmName="SHA-512" hashValue="ESvxaOJtCcwTHaUWczWw1AFuvIH3YZDzq02Tc5TwcA7kBW/rYxkU/eeIFLY7BljQEZTJ2djLaqBDGJFO6loEig==" saltValue="FiWsOK5jQrsjnQMC5nmnLA==" spinCount="100000" sqref="L8:L38" name="範囲3"/>
    <protectedRange algorithmName="SHA-512" hashValue="29lt+NIPVCYmigX+wZe5jY8fAnQK90EUfJT31rPl8CApxk6GRPD3oe0Gzo32GyxW4MKv2Sgcmp7JZNHuUxVerA==" saltValue="kK9XqH/VCkbOrmRevnv6pg==" spinCount="100000" sqref="F8:F38" name="範囲1"/>
    <protectedRange algorithmName="SHA-512" hashValue="ZS46nNEriQowJyZgx45K+qggwI6vFy2IOmmNOXjhLvNdd6gWJRJK8zk4d+kT102y2VO0qVKu62mXMa8ngNCrRA==" saltValue="MuPJaWB88hOALNNpvaTr4A==" spinCount="100000" sqref="H8:H37" name="範囲2"/>
    <protectedRange algorithmName="SHA-512" hashValue="0YOpEiPSuqg7zEjotUdHJOBoCDk/RqgHQh7Q2Vl+MtPz9wsMbk/jd+GD/O5kULWIV8GW8nv0IR4Wgxo7paB4pQ==" saltValue="pq3137eeeI10Vn8XehQivg==" spinCount="100000" sqref="A4:B4" name="範囲6"/>
    <protectedRange algorithmName="SHA-512" hashValue="ZS46nNEriQowJyZgx45K+qggwI6vFy2IOmmNOXjhLvNdd6gWJRJK8zk4d+kT102y2VO0qVKu62mXMa8ngNCrRA==" saltValue="MuPJaWB88hOALNNpvaTr4A==" spinCount="100000" sqref="M8:Q38" name="範囲2_1"/>
    <protectedRange algorithmName="SHA-512" hashValue="ZS46nNEriQowJyZgx45K+qggwI6vFy2IOmmNOXjhLvNdd6gWJRJK8zk4d+kT102y2VO0qVKu62mXMa8ngNCrRA==" saltValue="MuPJaWB88hOALNNpvaTr4A==" spinCount="100000" sqref="G8:G37" name="範囲2_2"/>
  </protectedRanges>
  <mergeCells count="60">
    <mergeCell ref="A41:B41"/>
    <mergeCell ref="D41:F41"/>
    <mergeCell ref="H41:J41"/>
    <mergeCell ref="L41:M41"/>
    <mergeCell ref="O41:P41"/>
    <mergeCell ref="M38:Q38"/>
    <mergeCell ref="A39:B39"/>
    <mergeCell ref="A40:B40"/>
    <mergeCell ref="D40:F40"/>
    <mergeCell ref="H40:J40"/>
    <mergeCell ref="L40:M40"/>
    <mergeCell ref="O40:P40"/>
    <mergeCell ref="M37:Q37"/>
    <mergeCell ref="M26:Q26"/>
    <mergeCell ref="M27:Q27"/>
    <mergeCell ref="M28:Q28"/>
    <mergeCell ref="M29:Q29"/>
    <mergeCell ref="M30:Q30"/>
    <mergeCell ref="M31:Q31"/>
    <mergeCell ref="M32:Q32"/>
    <mergeCell ref="M33:Q33"/>
    <mergeCell ref="M34:Q34"/>
    <mergeCell ref="M35:Q35"/>
    <mergeCell ref="M36:Q36"/>
    <mergeCell ref="M25:Q25"/>
    <mergeCell ref="M14:Q14"/>
    <mergeCell ref="M15:Q15"/>
    <mergeCell ref="M16:Q16"/>
    <mergeCell ref="M17:Q17"/>
    <mergeCell ref="M18:Q18"/>
    <mergeCell ref="M19:Q19"/>
    <mergeCell ref="M20:Q20"/>
    <mergeCell ref="M21:Q21"/>
    <mergeCell ref="M22:Q22"/>
    <mergeCell ref="M23:Q23"/>
    <mergeCell ref="M24:Q24"/>
    <mergeCell ref="M13:Q13"/>
    <mergeCell ref="G6:G7"/>
    <mergeCell ref="H6:H7"/>
    <mergeCell ref="I6:I7"/>
    <mergeCell ref="J6:J7"/>
    <mergeCell ref="K6:K7"/>
    <mergeCell ref="M6:Q7"/>
    <mergeCell ref="M8:Q8"/>
    <mergeCell ref="M9:Q9"/>
    <mergeCell ref="M10:Q10"/>
    <mergeCell ref="M11:Q11"/>
    <mergeCell ref="M12:Q12"/>
    <mergeCell ref="F6:F7"/>
    <mergeCell ref="O1:Q1"/>
    <mergeCell ref="O2:Q2"/>
    <mergeCell ref="A4:B4"/>
    <mergeCell ref="O4:O5"/>
    <mergeCell ref="P4:P5"/>
    <mergeCell ref="Q4:Q5"/>
    <mergeCell ref="A6:A7"/>
    <mergeCell ref="B6:B7"/>
    <mergeCell ref="C6:C7"/>
    <mergeCell ref="D6:D7"/>
    <mergeCell ref="E6:E7"/>
  </mergeCells>
  <phoneticPr fontId="2"/>
  <conditionalFormatting sqref="A6">
    <cfRule type="expression" dxfId="20" priority="8">
      <formula>WEEKDAY(B8)=土</formula>
    </cfRule>
  </conditionalFormatting>
  <conditionalFormatting sqref="A8:A35">
    <cfRule type="expression" dxfId="19" priority="7">
      <formula>WEEKDAY(B9)=土</formula>
    </cfRule>
  </conditionalFormatting>
  <conditionalFormatting sqref="A8:A38">
    <cfRule type="expression" dxfId="18" priority="2">
      <formula>OR(WEEKDAY(B8,2)=7, COUNTIF($T$8:$T$39,B8)&gt;0)</formula>
    </cfRule>
  </conditionalFormatting>
  <conditionalFormatting sqref="A36:A38">
    <cfRule type="expression" dxfId="17" priority="22" stopIfTrue="1">
      <formula>MATCH($A36,$C$41:$C$59,0)</formula>
    </cfRule>
    <cfRule type="expression" dxfId="16" priority="23" stopIfTrue="1">
      <formula>WEEKDAY($A36)=7</formula>
    </cfRule>
    <cfRule type="expression" dxfId="15" priority="24" stopIfTrue="1">
      <formula>WEEKDAY($A36)=1</formula>
    </cfRule>
  </conditionalFormatting>
  <conditionalFormatting sqref="A8:B35 B36:B38">
    <cfRule type="containsText" dxfId="14" priority="6" operator="containsText" text="土,日">
      <formula>NOT(ISERROR(SEARCH("土,日",A8)))</formula>
    </cfRule>
  </conditionalFormatting>
  <conditionalFormatting sqref="A8:B38">
    <cfRule type="expression" dxfId="13" priority="1">
      <formula>OR(WEEKDAY($A8,2)&gt;=6, COUNTIF($T$8:$T$38,$A8)&gt;0)</formula>
    </cfRule>
    <cfRule type="expression" dxfId="12" priority="3">
      <formula>WEEKDAY(A8,2)=6</formula>
    </cfRule>
    <cfRule type="expression" dxfId="11" priority="4">
      <formula>OR(WEEKDAY(A8,2)=6, WEEKDAY(A8,2)=7, COUNTIF($T$8:$T$26,A8)&gt;0)</formula>
    </cfRule>
    <cfRule type="expression" priority="5">
      <formula>OR(WEEKDAY(A8,2)&gt;5,COUNTIF($U$8:$U$26,A8)&gt;0)</formula>
    </cfRule>
  </conditionalFormatting>
  <conditionalFormatting sqref="B6">
    <cfRule type="expression" dxfId="10" priority="9">
      <formula>WEEKDAY(#REF!)=土</formula>
    </cfRule>
  </conditionalFormatting>
  <conditionalFormatting sqref="B8:B38">
    <cfRule type="expression" dxfId="9" priority="10">
      <formula>OR(WEEKDAY(B8,2)=7, COUNTIF($T$8:$T$39,B8)&gt;0)</formula>
    </cfRule>
    <cfRule type="expression" dxfId="8" priority="11">
      <formula>OR(WEEKDAY(B8,2)=6, WEEKDAY(B8,2)=7)</formula>
    </cfRule>
    <cfRule type="expression" dxfId="7" priority="12">
      <formula>WEEKDAY(#REF!,2)=6</formula>
    </cfRule>
    <cfRule type="expression" dxfId="6" priority="13">
      <formula>WEEKDAY(A4,2)=6</formula>
    </cfRule>
    <cfRule type="expression" dxfId="5" priority="14">
      <formula>WEEKDAY(#REF!,2)=6</formula>
    </cfRule>
    <cfRule type="expression" dxfId="4" priority="15">
      <formula>WEEKDAY(#REF!,2)=6</formula>
    </cfRule>
    <cfRule type="expression" priority="16">
      <formula>OR(WEEKDAY(B8,2)=7, COUNTIF($U$8:$U$26,B8)&gt;0)</formula>
    </cfRule>
    <cfRule type="expression" priority="17">
      <formula>WEEKDAY(A2,2)=6</formula>
    </cfRule>
    <cfRule type="expression" dxfId="3" priority="18">
      <formula>WEEKDAY(B8)=(土)</formula>
    </cfRule>
    <cfRule type="expression" dxfId="2" priority="19">
      <formula>WEEKDAY(B8)=(土)</formula>
    </cfRule>
    <cfRule type="expression" dxfId="1" priority="20">
      <formula>WEEKDAY(B8)=7</formula>
    </cfRule>
    <cfRule type="expression" dxfId="0" priority="21">
      <formula>WEEKDAY(#REF!)=土</formula>
    </cfRule>
  </conditionalFormatting>
  <dataValidations count="3">
    <dataValidation type="list" allowBlank="1" showInputMessage="1" showErrorMessage="1" sqref="O1:Q1" xr:uid="{4BC28781-2418-4EF3-950A-2D94C8770B46}">
      <formula1>$A$42:$H$42</formula1>
    </dataValidation>
    <dataValidation type="list" allowBlank="1" showInputMessage="1" showErrorMessage="1" sqref="L8:L38" xr:uid="{F36794F1-A809-44B9-A57E-4A9011F18E77}">
      <formula1>$L$6:$L$7</formula1>
    </dataValidation>
    <dataValidation type="list" allowBlank="1" showInputMessage="1" sqref="M8:Q38" xr:uid="{E1297619-CEEA-46EC-BC0F-7CC4AEE14FEE}">
      <formula1>$S$8:$S$12</formula1>
    </dataValidation>
  </dataValidations>
  <pageMargins left="0.27559055118110237" right="0.23622047244094491" top="0.74803149606299213" bottom="0.74803149606299213" header="0.31496062992125984" footer="0.31496062992125984"/>
  <pageSetup paperSize="9" scale="99" orientation="portrait" r:id="rId1"/>
  <headerFooter>
    <oddHeader>&amp;R&amp;9株式会社ウェイン</oddHeader>
    <oddFooter>&amp;R&amp;8 202508（v3.42)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勤務兼作業報告書 (2026年)</vt:lpstr>
      <vt:lpstr>勤務兼作業報告書 (記入例)</vt:lpstr>
      <vt:lpstr>'勤務兼作業報告書 (2026年)'!Print_Area</vt:lpstr>
      <vt:lpstr>'勤務兼作業報告書 (記入例)'!Print_Area</vt:lpstr>
      <vt:lpstr>'勤務兼作業報告書 (2026年)'!システム開発１部</vt:lpstr>
      <vt:lpstr>'勤務兼作業報告書 (記入例)'!システム開発１部</vt:lpstr>
    </vt:vector>
  </TitlesOfParts>
  <Company>株式会社ウェイン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ningyi</dc:creator>
  <cp:lastModifiedBy>翔平 佐々木</cp:lastModifiedBy>
  <cp:lastPrinted>2025-09-08T06:56:32Z</cp:lastPrinted>
  <dcterms:created xsi:type="dcterms:W3CDTF">2022-04-18T00:56:10Z</dcterms:created>
  <dcterms:modified xsi:type="dcterms:W3CDTF">2026-04-09T08:21:03Z</dcterms:modified>
</cp:coreProperties>
</file>