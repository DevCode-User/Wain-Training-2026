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gson\Downloads\"/>
    </mc:Choice>
  </mc:AlternateContent>
  <xr:revisionPtr revIDLastSave="0" documentId="13_ncr:1_{69655274-FB6C-407B-90E4-01D618B3F675}" xr6:coauthVersionLast="47" xr6:coauthVersionMax="47" xr10:uidLastSave="{00000000-0000-0000-0000-000000000000}"/>
  <bookViews>
    <workbookView xWindow="-110" yWindow="-110" windowWidth="19420" windowHeight="10300" tabRatio="863" xr2:uid="{00000000-000D-0000-FFFF-FFFF00000000}"/>
  </bookViews>
  <sheets>
    <sheet name="国内旅費交通費等清算書ﾌｫｰﾑ" sheetId="8" r:id="rId1"/>
    <sheet name="国内旅費交通費等清算書【記入例】" sheetId="13" r:id="rId2"/>
  </sheets>
  <definedNames>
    <definedName name="_xlnm.Print_Area" localSheetId="1">国内旅費交通費等清算書【記入例】!$B$1:$J$62</definedName>
    <definedName name="_xlnm.Print_Area" localSheetId="0">国内旅費交通費等清算書ﾌｫｰﾑ!$B$1:$K$61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2" i="13" l="1"/>
  <c r="J17" i="13"/>
  <c r="J16" i="13"/>
  <c r="J15" i="13"/>
  <c r="J11" i="13"/>
  <c r="J12" i="13"/>
  <c r="J13" i="13"/>
  <c r="J14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K29" i="8"/>
  <c r="K28" i="8"/>
  <c r="K27" i="8"/>
  <c r="K26" i="8"/>
  <c r="K25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30" i="8"/>
  <c r="K31" i="8"/>
  <c r="K32" i="8"/>
  <c r="K33" i="8"/>
  <c r="K34" i="8"/>
  <c r="K35" i="8"/>
  <c r="J31" i="13" l="1"/>
  <c r="K36" i="8"/>
  <c r="K37" i="8" l="1"/>
  <c r="E7" i="8"/>
  <c r="D7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zhang ningyi</author>
  </authors>
  <commentList>
    <comment ref="B4" authorId="0" shapeId="0" xr:uid="{BDC0F9DE-33F4-42FC-93BF-114470A37F39}">
      <text>
        <r>
          <rPr>
            <b/>
            <sz val="9"/>
            <color indexed="81"/>
            <rFont val="MS P ゴシック"/>
            <family val="3"/>
            <charset val="128"/>
          </rPr>
          <t>zhang ningyi:</t>
        </r>
        <r>
          <rPr>
            <sz val="9"/>
            <color indexed="81"/>
            <rFont val="MS P ゴシック"/>
            <family val="3"/>
            <charset val="128"/>
          </rPr>
          <t xml:space="preserve">
入力方法：
例：2023年4月の場合：4/1を入力</t>
        </r>
      </text>
    </comment>
  </commentList>
</comments>
</file>

<file path=xl/sharedStrings.xml><?xml version="1.0" encoding="utf-8"?>
<sst xmlns="http://schemas.openxmlformats.org/spreadsheetml/2006/main" count="96" uniqueCount="41">
  <si>
    <t>経路</t>
    <rPh sb="0" eb="2">
      <t>ケイロ</t>
    </rPh>
    <phoneticPr fontId="2"/>
  </si>
  <si>
    <t>用件</t>
    <rPh sb="0" eb="2">
      <t>ヨウケン</t>
    </rPh>
    <phoneticPr fontId="2"/>
  </si>
  <si>
    <t>電・バ・空</t>
    <rPh sb="0" eb="1">
      <t>デン</t>
    </rPh>
    <rPh sb="4" eb="5">
      <t>カラ</t>
    </rPh>
    <phoneticPr fontId="2"/>
  </si>
  <si>
    <t>タクシー</t>
    <phoneticPr fontId="2"/>
  </si>
  <si>
    <t>その他</t>
    <rPh sb="2" eb="3">
      <t>タ</t>
    </rPh>
    <phoneticPr fontId="2"/>
  </si>
  <si>
    <t>宿泊</t>
    <rPh sb="0" eb="2">
      <t>シュクハク</t>
    </rPh>
    <phoneticPr fontId="2"/>
  </si>
  <si>
    <t>合計金額（税込）</t>
    <rPh sb="0" eb="2">
      <t>ゴウケイ</t>
    </rPh>
    <rPh sb="2" eb="4">
      <t>キンガク</t>
    </rPh>
    <rPh sb="5" eb="7">
      <t>ゼイコ</t>
    </rPh>
    <phoneticPr fontId="2"/>
  </si>
  <si>
    <t>合計金額（税抜）</t>
    <rPh sb="0" eb="2">
      <t>ゴウケイ</t>
    </rPh>
    <rPh sb="2" eb="4">
      <t>キンガク</t>
    </rPh>
    <rPh sb="5" eb="6">
      <t>ゼイ</t>
    </rPh>
    <rPh sb="6" eb="7">
      <t>ヌキ</t>
    </rPh>
    <phoneticPr fontId="2"/>
  </si>
  <si>
    <t>※下記に領収書を貼付願います。</t>
    <rPh sb="1" eb="3">
      <t>カキ</t>
    </rPh>
    <rPh sb="4" eb="7">
      <t>リョウシュウショ</t>
    </rPh>
    <rPh sb="8" eb="9">
      <t>ハ</t>
    </rPh>
    <rPh sb="9" eb="10">
      <t>ツ</t>
    </rPh>
    <rPh sb="10" eb="11">
      <t>ネガ</t>
    </rPh>
    <phoneticPr fontId="2"/>
  </si>
  <si>
    <t>年月日</t>
    <rPh sb="0" eb="3">
      <t>ネンガッピ</t>
    </rPh>
    <phoneticPr fontId="2"/>
  </si>
  <si>
    <t>旅費内訳（単位：円）</t>
    <rPh sb="0" eb="2">
      <t>リョヒ</t>
    </rPh>
    <rPh sb="2" eb="4">
      <t>ウチワケ</t>
    </rPh>
    <rPh sb="5" eb="7">
      <t>タンイ</t>
    </rPh>
    <rPh sb="8" eb="9">
      <t>エン</t>
    </rPh>
    <phoneticPr fontId="2"/>
  </si>
  <si>
    <t>貼付欄</t>
    <rPh sb="0" eb="2">
      <t>テンプ</t>
    </rPh>
    <rPh sb="2" eb="3">
      <t>ラン</t>
    </rPh>
    <phoneticPr fontId="2"/>
  </si>
  <si>
    <t>ご請求金額</t>
    <rPh sb="1" eb="3">
      <t>セイキュウ</t>
    </rPh>
    <rPh sb="3" eb="5">
      <t>キンガク</t>
    </rPh>
    <phoneticPr fontId="2"/>
  </si>
  <si>
    <t>小計</t>
    <rPh sb="0" eb="2">
      <t>ショウケイ</t>
    </rPh>
    <phoneticPr fontId="2"/>
  </si>
  <si>
    <t>タクシー</t>
    <phoneticPr fontId="2"/>
  </si>
  <si>
    <t>申請者</t>
    <rPh sb="0" eb="3">
      <t>シンセイシャ</t>
    </rPh>
    <phoneticPr fontId="2"/>
  </si>
  <si>
    <t>yyyy/mm/dd</t>
    <phoneticPr fontId="2"/>
  </si>
  <si>
    <t>＜記入要領＞</t>
    <rPh sb="1" eb="3">
      <t>キニュウ</t>
    </rPh>
    <rPh sb="3" eb="5">
      <t>ヨウリョウ</t>
    </rPh>
    <phoneticPr fontId="2"/>
  </si>
  <si>
    <t>１．旅費等は全て税込金額にて入力下さい。</t>
    <rPh sb="2" eb="4">
      <t>リョヒ</t>
    </rPh>
    <rPh sb="4" eb="5">
      <t>トウ</t>
    </rPh>
    <rPh sb="6" eb="7">
      <t>スベ</t>
    </rPh>
    <rPh sb="8" eb="10">
      <t>ゼイコミ</t>
    </rPh>
    <rPh sb="10" eb="12">
      <t>キンガク</t>
    </rPh>
    <rPh sb="14" eb="16">
      <t>ニュウリョク</t>
    </rPh>
    <rPh sb="16" eb="17">
      <t>クダ</t>
    </rPh>
    <phoneticPr fontId="2"/>
  </si>
  <si>
    <t>支払理由</t>
    <rPh sb="0" eb="2">
      <t>シハライ</t>
    </rPh>
    <rPh sb="2" eb="4">
      <t>リユウ</t>
    </rPh>
    <phoneticPr fontId="2"/>
  </si>
  <si>
    <t>１．国内旅費等は全て税込金額を入力願います。</t>
    <rPh sb="2" eb="4">
      <t>コクナイ</t>
    </rPh>
    <rPh sb="4" eb="6">
      <t>リョヒ</t>
    </rPh>
    <rPh sb="6" eb="7">
      <t>トウ</t>
    </rPh>
    <rPh sb="8" eb="9">
      <t>スベ</t>
    </rPh>
    <rPh sb="10" eb="12">
      <t>ゼイコミ</t>
    </rPh>
    <rPh sb="12" eb="14">
      <t>キンガク</t>
    </rPh>
    <rPh sb="15" eb="17">
      <t>ニュウリョク</t>
    </rPh>
    <rPh sb="17" eb="18">
      <t>ネガ</t>
    </rPh>
    <phoneticPr fontId="2"/>
  </si>
  <si>
    <t>yyyy/mm/dd</t>
    <phoneticPr fontId="2"/>
  </si>
  <si>
    <t>承認</t>
    <rPh sb="0" eb="2">
      <t>ショウニン</t>
    </rPh>
    <phoneticPr fontId="2"/>
  </si>
  <si>
    <t>３．技術者のお名前は、忘れずにご記入、押印願います。</t>
    <rPh sb="2" eb="5">
      <t>ギジュツシャ</t>
    </rPh>
    <rPh sb="7" eb="9">
      <t>ナマエ</t>
    </rPh>
    <rPh sb="11" eb="12">
      <t>ワス</t>
    </rPh>
    <rPh sb="16" eb="18">
      <t>キニュウ</t>
    </rPh>
    <rPh sb="19" eb="21">
      <t>オウイン</t>
    </rPh>
    <rPh sb="21" eb="22">
      <t>ネガ</t>
    </rPh>
    <phoneticPr fontId="2"/>
  </si>
  <si>
    <t>２．タクシーおよび宿泊費については領収書が必要となります。領収書を添付し、提出下さい。</t>
    <rPh sb="9" eb="12">
      <t>シュクハクヒ</t>
    </rPh>
    <rPh sb="17" eb="20">
      <t>リョウシュウショ</t>
    </rPh>
    <rPh sb="21" eb="23">
      <t>ヒツヨウ</t>
    </rPh>
    <rPh sb="29" eb="32">
      <t>リョウシュウショ</t>
    </rPh>
    <rPh sb="33" eb="35">
      <t>テンプ</t>
    </rPh>
    <rPh sb="37" eb="39">
      <t>テイシュツ</t>
    </rPh>
    <rPh sb="39" eb="40">
      <t>クダ</t>
    </rPh>
    <phoneticPr fontId="2"/>
  </si>
  <si>
    <t>定期券</t>
    <rPh sb="0" eb="2">
      <t>テイキ</t>
    </rPh>
    <rPh sb="2" eb="3">
      <t>ケン</t>
    </rPh>
    <phoneticPr fontId="2"/>
  </si>
  <si>
    <t>２．タクシー代、航空券代および宿泊費については、領収書が必要となります。領収書を添付し、提出下さい。</t>
    <rPh sb="6" eb="7">
      <t>ダイ</t>
    </rPh>
    <rPh sb="8" eb="11">
      <t>コウクウケン</t>
    </rPh>
    <rPh sb="11" eb="12">
      <t>ダイ</t>
    </rPh>
    <rPh sb="15" eb="18">
      <t>シュクハクヒ</t>
    </rPh>
    <rPh sb="24" eb="27">
      <t>リョウシュウショ</t>
    </rPh>
    <rPh sb="28" eb="30">
      <t>ヒツヨウ</t>
    </rPh>
    <rPh sb="36" eb="39">
      <t>リョウシュウショ</t>
    </rPh>
    <rPh sb="40" eb="42">
      <t>テンプ</t>
    </rPh>
    <rPh sb="44" eb="46">
      <t>テイシュツ</t>
    </rPh>
    <rPh sb="46" eb="47">
      <t>クダ</t>
    </rPh>
    <phoneticPr fontId="2"/>
  </si>
  <si>
    <t>旅費交通費等精算書【国内】</t>
    <rPh sb="0" eb="2">
      <t>リョヒ</t>
    </rPh>
    <rPh sb="2" eb="5">
      <t>コウツウヒ</t>
    </rPh>
    <rPh sb="5" eb="6">
      <t>ナド</t>
    </rPh>
    <rPh sb="6" eb="8">
      <t>セイサン</t>
    </rPh>
    <rPh sb="8" eb="9">
      <t>ショ</t>
    </rPh>
    <rPh sb="10" eb="12">
      <t>コクナイ</t>
    </rPh>
    <phoneticPr fontId="2"/>
  </si>
  <si>
    <t xml:space="preserve"> ＜管理部記入欄＞</t>
    <rPh sb="2" eb="4">
      <t>カンリ</t>
    </rPh>
    <rPh sb="4" eb="5">
      <t>ブ</t>
    </rPh>
    <rPh sb="5" eb="7">
      <t>キニュウ</t>
    </rPh>
    <rPh sb="7" eb="8">
      <t>ラン</t>
    </rPh>
    <phoneticPr fontId="2"/>
  </si>
  <si>
    <t>～</t>
    <phoneticPr fontId="2"/>
  </si>
  <si>
    <t>蕨～田町（3/1-3/31）</t>
    <rPh sb="0" eb="1">
      <t>ワラビ</t>
    </rPh>
    <rPh sb="2" eb="4">
      <t>タマチ</t>
    </rPh>
    <phoneticPr fontId="2"/>
  </si>
  <si>
    <t>システム開発第　　部　ウェイン太郎</t>
    <rPh sb="6" eb="7">
      <t>ダイ</t>
    </rPh>
    <rPh sb="9" eb="10">
      <t>ブ</t>
    </rPh>
    <rPh sb="15" eb="17">
      <t>タロウ</t>
    </rPh>
    <phoneticPr fontId="2"/>
  </si>
  <si>
    <t>旅費交通費等内訳（単位：円）</t>
    <rPh sb="0" eb="2">
      <t>リョヒ</t>
    </rPh>
    <rPh sb="2" eb="5">
      <t>コウツウヒ</t>
    </rPh>
    <rPh sb="5" eb="6">
      <t>ナド</t>
    </rPh>
    <rPh sb="6" eb="8">
      <t>ウチワケ</t>
    </rPh>
    <rPh sb="9" eb="11">
      <t>タンイ</t>
    </rPh>
    <rPh sb="12" eb="13">
      <t>エン</t>
    </rPh>
    <phoneticPr fontId="2"/>
  </si>
  <si>
    <t>自宅　～　田町</t>
    <rPh sb="0" eb="2">
      <t>ジタク</t>
    </rPh>
    <rPh sb="5" eb="7">
      <t>タマチ</t>
    </rPh>
    <phoneticPr fontId="2"/>
  </si>
  <si>
    <t>出勤</t>
    <rPh sb="0" eb="2">
      <t>シュッキン</t>
    </rPh>
    <phoneticPr fontId="2"/>
  </si>
  <si>
    <t>新板橋</t>
    <rPh sb="0" eb="3">
      <t>シンイタバシ</t>
    </rPh>
    <phoneticPr fontId="2"/>
  </si>
  <si>
    <t>三田</t>
    <rPh sb="0" eb="2">
      <t>ミタ</t>
    </rPh>
    <phoneticPr fontId="2"/>
  </si>
  <si>
    <t>通勤定期</t>
    <rPh sb="0" eb="4">
      <t>ツウキンテイキ</t>
    </rPh>
    <phoneticPr fontId="2"/>
  </si>
  <si>
    <t>退勤</t>
    <rPh sb="0" eb="2">
      <t>タイキン</t>
    </rPh>
    <phoneticPr fontId="2"/>
  </si>
  <si>
    <t>2026/04/02～05/01</t>
    <phoneticPr fontId="2"/>
  </si>
  <si>
    <t>システム開発2部　佐々木 翔平</t>
    <rPh sb="4" eb="6">
      <t>カイハツ</t>
    </rPh>
    <rPh sb="7" eb="8">
      <t>ブ</t>
    </rPh>
    <rPh sb="9" eb="12">
      <t>ササキ</t>
    </rPh>
    <rPh sb="13" eb="15">
      <t>ショウヘイ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</si>
</sst>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#,##0&quot;円&quot;"/>
  </numFmts>
  <fonts count="2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8"/>
      <color indexed="10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color indexed="12"/>
      <name val="ＭＳ Ｐゴシック"/>
      <family val="3"/>
      <charset val="128"/>
    </font>
    <font>
      <b/>
      <sz val="14"/>
      <color indexed="10"/>
      <name val="ＭＳ Ｐゴシック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37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ashDotDot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/>
  </cellStyleXfs>
  <cellXfs count="162">
    <xf numFmtId="0" fontId="0" fillId="0" borderId="0" xfId="0"/>
    <xf numFmtId="0" fontId="4" fillId="0" borderId="0" xfId="0" applyFont="1"/>
    <xf numFmtId="0" fontId="1" fillId="0" borderId="0" xfId="0" applyFont="1"/>
    <xf numFmtId="0" fontId="6" fillId="0" borderId="0" xfId="0" applyFont="1"/>
    <xf numFmtId="0" fontId="7" fillId="0" borderId="0" xfId="0" applyFont="1"/>
    <xf numFmtId="0" fontId="0" fillId="0" borderId="0" xfId="0" quotePrefix="1"/>
    <xf numFmtId="0" fontId="7" fillId="0" borderId="1" xfId="0" applyFont="1" applyBorder="1" applyAlignment="1">
      <alignment horizontal="center"/>
    </xf>
    <xf numFmtId="3" fontId="7" fillId="0" borderId="2" xfId="1" applyNumberFormat="1" applyFont="1" applyBorder="1" applyAlignment="1">
      <alignment vertical="center"/>
    </xf>
    <xf numFmtId="3" fontId="7" fillId="0" borderId="3" xfId="1" applyNumberFormat="1" applyFont="1" applyBorder="1" applyAlignment="1">
      <alignment vertical="center"/>
    </xf>
    <xf numFmtId="3" fontId="7" fillId="0" borderId="4" xfId="1" applyNumberFormat="1" applyFont="1" applyBorder="1" applyAlignment="1">
      <alignment vertical="center"/>
    </xf>
    <xf numFmtId="0" fontId="9" fillId="0" borderId="5" xfId="0" applyFont="1" applyBorder="1"/>
    <xf numFmtId="0" fontId="8" fillId="0" borderId="0" xfId="0" applyFont="1"/>
    <xf numFmtId="0" fontId="7" fillId="0" borderId="7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8" xfId="0" applyFont="1" applyBorder="1"/>
    <xf numFmtId="31" fontId="7" fillId="0" borderId="7" xfId="0" applyNumberFormat="1" applyFont="1" applyBorder="1"/>
    <xf numFmtId="38" fontId="7" fillId="0" borderId="0" xfId="1" applyFont="1" applyBorder="1"/>
    <xf numFmtId="38" fontId="7" fillId="0" borderId="8" xfId="1" applyFont="1" applyBorder="1"/>
    <xf numFmtId="49" fontId="7" fillId="0" borderId="0" xfId="0" applyNumberFormat="1" applyFont="1"/>
    <xf numFmtId="31" fontId="7" fillId="0" borderId="0" xfId="0" applyNumberFormat="1" applyFont="1"/>
    <xf numFmtId="0" fontId="6" fillId="0" borderId="0" xfId="0" applyFont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11" fillId="0" borderId="10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3" fillId="0" borderId="0" xfId="0" applyFont="1"/>
    <xf numFmtId="49" fontId="8" fillId="0" borderId="0" xfId="0" applyNumberFormat="1" applyFont="1"/>
    <xf numFmtId="0" fontId="8" fillId="0" borderId="11" xfId="0" applyFont="1" applyBorder="1"/>
    <xf numFmtId="0" fontId="7" fillId="0" borderId="11" xfId="0" applyFont="1" applyBorder="1"/>
    <xf numFmtId="0" fontId="1" fillId="0" borderId="2" xfId="0" applyFont="1" applyBorder="1" applyAlignment="1">
      <alignment horizontal="center"/>
    </xf>
    <xf numFmtId="49" fontId="1" fillId="0" borderId="0" xfId="0" applyNumberFormat="1" applyFont="1" applyAlignment="1">
      <alignment horizontal="right"/>
    </xf>
    <xf numFmtId="0" fontId="5" fillId="0" borderId="9" xfId="0" applyFont="1" applyBorder="1" applyAlignment="1">
      <alignment horizontal="center" vertical="center"/>
    </xf>
    <xf numFmtId="177" fontId="5" fillId="0" borderId="9" xfId="1" applyNumberFormat="1" applyFont="1" applyBorder="1" applyAlignment="1">
      <alignment vertical="center"/>
    </xf>
    <xf numFmtId="0" fontId="10" fillId="0" borderId="0" xfId="0" applyFont="1" applyAlignment="1">
      <alignment horizontal="right" vertical="center"/>
    </xf>
    <xf numFmtId="56" fontId="10" fillId="0" borderId="0" xfId="0" quotePrefix="1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/>
    <xf numFmtId="0" fontId="5" fillId="0" borderId="10" xfId="0" applyFont="1" applyBorder="1" applyAlignment="1">
      <alignment horizontal="center" vertical="center"/>
    </xf>
    <xf numFmtId="0" fontId="11" fillId="0" borderId="0" xfId="0" applyFont="1"/>
    <xf numFmtId="49" fontId="11" fillId="0" borderId="0" xfId="0" applyNumberFormat="1" applyFont="1"/>
    <xf numFmtId="0" fontId="14" fillId="0" borderId="0" xfId="0" applyFont="1"/>
    <xf numFmtId="0" fontId="11" fillId="0" borderId="0" xfId="0" applyFont="1" applyAlignment="1">
      <alignment horizontal="center"/>
    </xf>
    <xf numFmtId="0" fontId="16" fillId="0" borderId="0" xfId="0" applyFont="1"/>
    <xf numFmtId="0" fontId="7" fillId="0" borderId="12" xfId="0" applyFont="1" applyBorder="1" applyAlignment="1">
      <alignment horizontal="center"/>
    </xf>
    <xf numFmtId="0" fontId="7" fillId="0" borderId="12" xfId="0" applyFont="1" applyBorder="1" applyAlignment="1">
      <alignment horizontal="centerContinuous"/>
    </xf>
    <xf numFmtId="38" fontId="7" fillId="0" borderId="13" xfId="1" applyFont="1" applyBorder="1"/>
    <xf numFmtId="3" fontId="7" fillId="0" borderId="0" xfId="0" applyNumberFormat="1" applyFont="1"/>
    <xf numFmtId="56" fontId="7" fillId="0" borderId="0" xfId="0" quotePrefix="1" applyNumberFormat="1" applyFont="1"/>
    <xf numFmtId="3" fontId="10" fillId="0" borderId="0" xfId="0" applyNumberFormat="1" applyFont="1"/>
    <xf numFmtId="56" fontId="10" fillId="0" borderId="0" xfId="0" applyNumberFormat="1" applyFont="1"/>
    <xf numFmtId="0" fontId="8" fillId="0" borderId="14" xfId="0" applyFont="1" applyBorder="1"/>
    <xf numFmtId="0" fontId="8" fillId="0" borderId="5" xfId="0" applyFont="1" applyBorder="1"/>
    <xf numFmtId="0" fontId="8" fillId="0" borderId="15" xfId="0" applyFont="1" applyBorder="1"/>
    <xf numFmtId="38" fontId="5" fillId="0" borderId="13" xfId="1" applyFont="1" applyFill="1" applyBorder="1"/>
    <xf numFmtId="31" fontId="7" fillId="0" borderId="12" xfId="0" applyNumberFormat="1" applyFont="1" applyBorder="1"/>
    <xf numFmtId="0" fontId="7" fillId="0" borderId="12" xfId="0" applyFont="1" applyBorder="1"/>
    <xf numFmtId="0" fontId="1" fillId="0" borderId="5" xfId="0" applyFont="1" applyBorder="1"/>
    <xf numFmtId="0" fontId="2" fillId="0" borderId="0" xfId="0" applyFont="1"/>
    <xf numFmtId="49" fontId="2" fillId="0" borderId="16" xfId="0" applyNumberFormat="1" applyFont="1" applyBorder="1"/>
    <xf numFmtId="0" fontId="2" fillId="0" borderId="16" xfId="0" applyFont="1" applyBorder="1"/>
    <xf numFmtId="49" fontId="2" fillId="0" borderId="0" xfId="0" applyNumberFormat="1" applyFont="1"/>
    <xf numFmtId="0" fontId="1" fillId="0" borderId="0" xfId="0" applyFont="1" applyAlignment="1">
      <alignment vertical="center"/>
    </xf>
    <xf numFmtId="3" fontId="1" fillId="0" borderId="0" xfId="0" applyNumberFormat="1" applyFont="1"/>
    <xf numFmtId="56" fontId="1" fillId="0" borderId="0" xfId="0" applyNumberFormat="1" applyFont="1"/>
    <xf numFmtId="0" fontId="7" fillId="0" borderId="10" xfId="0" applyFont="1" applyBorder="1"/>
    <xf numFmtId="49" fontId="7" fillId="0" borderId="17" xfId="0" applyNumberFormat="1" applyFont="1" applyBorder="1"/>
    <xf numFmtId="0" fontId="7" fillId="0" borderId="18" xfId="0" applyFont="1" applyBorder="1"/>
    <xf numFmtId="0" fontId="7" fillId="0" borderId="19" xfId="0" applyFont="1" applyBorder="1"/>
    <xf numFmtId="49" fontId="7" fillId="0" borderId="20" xfId="0" applyNumberFormat="1" applyFont="1" applyBorder="1"/>
    <xf numFmtId="0" fontId="7" fillId="0" borderId="21" xfId="0" applyFont="1" applyBorder="1"/>
    <xf numFmtId="49" fontId="1" fillId="0" borderId="22" xfId="0" applyNumberFormat="1" applyFont="1" applyBorder="1" applyAlignment="1">
      <alignment horizontal="right"/>
    </xf>
    <xf numFmtId="0" fontId="7" fillId="0" borderId="23" xfId="0" applyFont="1" applyBorder="1"/>
    <xf numFmtId="0" fontId="8" fillId="0" borderId="18" xfId="0" applyFont="1" applyBorder="1"/>
    <xf numFmtId="0" fontId="11" fillId="0" borderId="0" xfId="0" applyFont="1" applyAlignment="1">
      <alignment horizontal="left"/>
    </xf>
    <xf numFmtId="49" fontId="7" fillId="0" borderId="0" xfId="0" applyNumberFormat="1" applyFont="1" applyAlignment="1">
      <alignment horizontal="left"/>
    </xf>
    <xf numFmtId="0" fontId="9" fillId="2" borderId="24" xfId="0" applyFont="1" applyFill="1" applyBorder="1" applyAlignment="1">
      <alignment horizontal="center" vertical="center"/>
    </xf>
    <xf numFmtId="0" fontId="9" fillId="2" borderId="25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Continuous" vertical="center"/>
    </xf>
    <xf numFmtId="0" fontId="9" fillId="2" borderId="27" xfId="0" applyFont="1" applyFill="1" applyBorder="1" applyAlignment="1">
      <alignment horizontal="centerContinuous" vertical="center"/>
    </xf>
    <xf numFmtId="0" fontId="9" fillId="2" borderId="28" xfId="0" applyFont="1" applyFill="1" applyBorder="1" applyAlignment="1">
      <alignment horizontal="centerContinuous" vertical="center"/>
    </xf>
    <xf numFmtId="0" fontId="9" fillId="2" borderId="1" xfId="0" applyFont="1" applyFill="1" applyBorder="1" applyAlignment="1">
      <alignment horizontal="center"/>
    </xf>
    <xf numFmtId="0" fontId="12" fillId="2" borderId="29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vertical="center"/>
    </xf>
    <xf numFmtId="0" fontId="9" fillId="2" borderId="11" xfId="0" applyFont="1" applyFill="1" applyBorder="1" applyAlignment="1">
      <alignment horizontal="center" vertical="center"/>
    </xf>
    <xf numFmtId="0" fontId="5" fillId="2" borderId="8" xfId="0" applyFont="1" applyFill="1" applyBorder="1"/>
    <xf numFmtId="0" fontId="3" fillId="0" borderId="0" xfId="0" applyFont="1"/>
    <xf numFmtId="0" fontId="1" fillId="0" borderId="0" xfId="0" applyFont="1" applyAlignment="1">
      <alignment horizontal="right" vertical="center"/>
    </xf>
    <xf numFmtId="56" fontId="1" fillId="0" borderId="0" xfId="0" quotePrefix="1" applyNumberFormat="1" applyFont="1" applyAlignment="1">
      <alignment horizontal="center" vertical="center"/>
    </xf>
    <xf numFmtId="38" fontId="7" fillId="0" borderId="2" xfId="1" applyFont="1" applyFill="1" applyBorder="1"/>
    <xf numFmtId="38" fontId="7" fillId="0" borderId="3" xfId="1" applyFont="1" applyFill="1" applyBorder="1"/>
    <xf numFmtId="38" fontId="7" fillId="0" borderId="4" xfId="1" applyFont="1" applyBorder="1"/>
    <xf numFmtId="0" fontId="5" fillId="0" borderId="6" xfId="0" applyFont="1" applyBorder="1" applyAlignment="1">
      <alignment horizontal="center"/>
    </xf>
    <xf numFmtId="0" fontId="7" fillId="0" borderId="0" xfId="0" applyFont="1" applyAlignment="1">
      <alignment horizontal="left"/>
    </xf>
    <xf numFmtId="176" fontId="11" fillId="0" borderId="30" xfId="0" applyNumberFormat="1" applyFont="1" applyBorder="1" applyAlignment="1">
      <alignment horizontal="center" vertical="center"/>
    </xf>
    <xf numFmtId="0" fontId="7" fillId="0" borderId="31" xfId="0" applyFont="1" applyBorder="1"/>
    <xf numFmtId="0" fontId="1" fillId="0" borderId="0" xfId="0" applyFont="1" applyAlignment="1">
      <alignment horizontal="center"/>
    </xf>
    <xf numFmtId="0" fontId="1" fillId="0" borderId="21" xfId="0" applyFont="1" applyBorder="1" applyAlignment="1">
      <alignment horizontal="center"/>
    </xf>
    <xf numFmtId="0" fontId="8" fillId="0" borderId="21" xfId="0" applyFont="1" applyBorder="1"/>
    <xf numFmtId="49" fontId="7" fillId="0" borderId="0" xfId="0" applyNumberFormat="1" applyFont="1" applyAlignment="1">
      <alignment horizontal="right"/>
    </xf>
    <xf numFmtId="0" fontId="8" fillId="0" borderId="2" xfId="0" applyFont="1" applyBorder="1" applyAlignment="1">
      <alignment horizontal="center"/>
    </xf>
    <xf numFmtId="14" fontId="11" fillId="0" borderId="30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32" xfId="0" applyFont="1" applyBorder="1"/>
    <xf numFmtId="0" fontId="8" fillId="0" borderId="3" xfId="0" applyFont="1" applyBorder="1"/>
    <xf numFmtId="49" fontId="1" fillId="0" borderId="18" xfId="0" applyNumberFormat="1" applyFont="1" applyBorder="1" applyAlignment="1">
      <alignment horizontal="right"/>
    </xf>
    <xf numFmtId="49" fontId="1" fillId="0" borderId="17" xfId="0" applyNumberFormat="1" applyFont="1" applyBorder="1" applyAlignment="1">
      <alignment horizontal="right"/>
    </xf>
    <xf numFmtId="49" fontId="8" fillId="0" borderId="20" xfId="0" applyNumberFormat="1" applyFont="1" applyBorder="1"/>
    <xf numFmtId="176" fontId="8" fillId="0" borderId="32" xfId="0" applyNumberFormat="1" applyFont="1" applyBorder="1" applyAlignment="1">
      <alignment vertical="center"/>
    </xf>
    <xf numFmtId="176" fontId="8" fillId="0" borderId="3" xfId="0" applyNumberFormat="1" applyFont="1" applyBorder="1" applyAlignment="1">
      <alignment vertical="center"/>
    </xf>
    <xf numFmtId="0" fontId="0" fillId="0" borderId="0" xfId="0" applyAlignment="1">
      <alignment horizontal="center"/>
    </xf>
    <xf numFmtId="49" fontId="1" fillId="0" borderId="10" xfId="0" applyNumberFormat="1" applyFont="1" applyBorder="1" applyAlignment="1">
      <alignment horizontal="right"/>
    </xf>
    <xf numFmtId="176" fontId="11" fillId="0" borderId="30" xfId="0" applyNumberFormat="1" applyFont="1" applyBorder="1" applyAlignment="1" applyProtection="1">
      <alignment horizontal="center" vertical="center" shrinkToFit="1"/>
      <protection locked="0"/>
    </xf>
    <xf numFmtId="176" fontId="8" fillId="0" borderId="32" xfId="0" applyNumberFormat="1" applyFont="1" applyBorder="1" applyAlignment="1" applyProtection="1">
      <alignment vertical="center" shrinkToFit="1"/>
      <protection locked="0"/>
    </xf>
    <xf numFmtId="176" fontId="8" fillId="0" borderId="36" xfId="0" applyNumberFormat="1" applyFont="1" applyBorder="1" applyAlignment="1" applyProtection="1">
      <alignment horizontal="center" vertical="center" shrinkToFit="1"/>
      <protection locked="0"/>
    </xf>
    <xf numFmtId="176" fontId="8" fillId="0" borderId="3" xfId="0" applyNumberFormat="1" applyFont="1" applyBorder="1" applyAlignment="1" applyProtection="1">
      <alignment vertical="center" shrinkToFit="1"/>
      <protection locked="0"/>
    </xf>
    <xf numFmtId="0" fontId="8" fillId="0" borderId="3" xfId="0" applyFont="1" applyBorder="1" applyAlignment="1" applyProtection="1">
      <alignment horizontal="center" vertical="center" shrinkToFit="1"/>
      <protection locked="0"/>
    </xf>
    <xf numFmtId="3" fontId="7" fillId="0" borderId="2" xfId="1" applyNumberFormat="1" applyFont="1" applyBorder="1" applyAlignment="1" applyProtection="1">
      <alignment vertical="center" shrinkToFit="1"/>
      <protection locked="0"/>
    </xf>
    <xf numFmtId="3" fontId="7" fillId="0" borderId="3" xfId="1" applyNumberFormat="1" applyFont="1" applyBorder="1" applyAlignment="1" applyProtection="1">
      <alignment vertical="center" shrinkToFit="1"/>
      <protection locked="0"/>
    </xf>
    <xf numFmtId="176" fontId="8" fillId="0" borderId="32" xfId="0" applyNumberFormat="1" applyFont="1" applyBorder="1" applyAlignment="1" applyProtection="1">
      <alignment horizontal="center" vertical="center" shrinkToFit="1"/>
      <protection locked="0"/>
    </xf>
    <xf numFmtId="176" fontId="8" fillId="0" borderId="3" xfId="0" applyNumberFormat="1" applyFont="1" applyBorder="1" applyAlignment="1" applyProtection="1">
      <alignment horizontal="center" vertical="center" shrinkToFit="1"/>
      <protection locked="0"/>
    </xf>
    <xf numFmtId="3" fontId="7" fillId="0" borderId="4" xfId="1" applyNumberFormat="1" applyFont="1" applyBorder="1" applyAlignment="1" applyProtection="1">
      <alignment vertical="center"/>
    </xf>
    <xf numFmtId="38" fontId="7" fillId="0" borderId="13" xfId="1" applyFont="1" applyBorder="1" applyProtection="1"/>
    <xf numFmtId="38" fontId="5" fillId="0" borderId="13" xfId="1" applyFont="1" applyFill="1" applyBorder="1" applyProtection="1"/>
    <xf numFmtId="0" fontId="1" fillId="0" borderId="6" xfId="0" applyFont="1" applyBorder="1" applyAlignment="1" applyProtection="1">
      <alignment horizontal="center"/>
      <protection locked="0"/>
    </xf>
    <xf numFmtId="0" fontId="7" fillId="0" borderId="12" xfId="0" applyFont="1" applyBorder="1" applyAlignment="1" applyProtection="1">
      <alignment horizontal="center"/>
      <protection locked="0"/>
    </xf>
    <xf numFmtId="0" fontId="7" fillId="0" borderId="12" xfId="0" applyFont="1" applyBorder="1" applyAlignment="1" applyProtection="1">
      <alignment horizontal="centerContinuous"/>
      <protection locked="0"/>
    </xf>
    <xf numFmtId="0" fontId="7" fillId="0" borderId="1" xfId="0" applyFont="1" applyBorder="1" applyAlignment="1" applyProtection="1">
      <alignment horizontal="center"/>
      <protection locked="0"/>
    </xf>
    <xf numFmtId="0" fontId="7" fillId="0" borderId="7" xfId="0" applyFont="1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0" borderId="0" xfId="0" applyFont="1" applyProtection="1">
      <protection locked="0"/>
    </xf>
    <xf numFmtId="0" fontId="7" fillId="0" borderId="8" xfId="0" applyFont="1" applyBorder="1" applyProtection="1">
      <protection locked="0"/>
    </xf>
    <xf numFmtId="31" fontId="7" fillId="0" borderId="7" xfId="0" applyNumberFormat="1" applyFont="1" applyBorder="1" applyProtection="1">
      <protection locked="0"/>
    </xf>
    <xf numFmtId="31" fontId="7" fillId="0" borderId="0" xfId="0" applyNumberFormat="1" applyFont="1" applyProtection="1">
      <protection locked="0"/>
    </xf>
    <xf numFmtId="38" fontId="7" fillId="0" borderId="0" xfId="1" applyFont="1" applyBorder="1" applyProtection="1">
      <protection locked="0"/>
    </xf>
    <xf numFmtId="38" fontId="7" fillId="0" borderId="8" xfId="1" applyFont="1" applyBorder="1" applyProtection="1">
      <protection locked="0"/>
    </xf>
    <xf numFmtId="0" fontId="8" fillId="0" borderId="14" xfId="0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15" xfId="0" applyFont="1" applyBorder="1" applyProtection="1">
      <protection locked="0"/>
    </xf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  <xf numFmtId="0" fontId="0" fillId="0" borderId="10" xfId="0" applyBorder="1" applyAlignment="1" applyProtection="1">
      <alignment horizontal="center" vertical="center"/>
      <protection locked="0"/>
    </xf>
    <xf numFmtId="0" fontId="7" fillId="0" borderId="33" xfId="0" applyFont="1" applyBorder="1" applyAlignment="1">
      <alignment horizontal="right"/>
    </xf>
    <xf numFmtId="0" fontId="7" fillId="0" borderId="34" xfId="0" applyFont="1" applyBorder="1" applyAlignment="1">
      <alignment horizontal="right"/>
    </xf>
    <xf numFmtId="0" fontId="5" fillId="0" borderId="33" xfId="0" applyFont="1" applyBorder="1" applyAlignment="1">
      <alignment horizontal="right"/>
    </xf>
    <xf numFmtId="0" fontId="5" fillId="0" borderId="34" xfId="0" applyFont="1" applyBorder="1" applyAlignment="1">
      <alignment horizontal="right"/>
    </xf>
    <xf numFmtId="0" fontId="7" fillId="0" borderId="12" xfId="0" applyFont="1" applyBorder="1" applyAlignment="1">
      <alignment horizontal="right"/>
    </xf>
    <xf numFmtId="0" fontId="7" fillId="0" borderId="1" xfId="0" applyFont="1" applyBorder="1" applyAlignment="1">
      <alignment horizontal="right"/>
    </xf>
    <xf numFmtId="0" fontId="5" fillId="0" borderId="0" xfId="0" applyFont="1" applyAlignment="1">
      <alignment horizontal="right"/>
    </xf>
    <xf numFmtId="55" fontId="18" fillId="0" borderId="0" xfId="0" applyNumberFormat="1" applyFont="1" applyAlignment="1" applyProtection="1">
      <alignment horizontal="center"/>
      <protection locked="0"/>
    </xf>
    <xf numFmtId="0" fontId="9" fillId="2" borderId="3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25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8" fillId="0" borderId="32" xfId="0" applyFont="1" applyBorder="1"/>
    <xf numFmtId="0" fontId="8" fillId="0" borderId="3" xfId="0" applyFont="1" applyBorder="1"/>
    <xf numFmtId="176" fontId="8" fillId="0" borderId="32" xfId="0" applyNumberFormat="1" applyFont="1" applyBorder="1" applyAlignment="1">
      <alignment horizontal="center" vertical="center"/>
    </xf>
    <xf numFmtId="176" fontId="8" fillId="0" borderId="3" xfId="0" applyNumberFormat="1" applyFont="1" applyBorder="1" applyAlignment="1">
      <alignment horizontal="center" vertical="center"/>
    </xf>
    <xf numFmtId="0" fontId="17" fillId="0" borderId="10" xfId="0" applyFont="1" applyBorder="1" applyAlignment="1">
      <alignment horizontal="right" vertical="center"/>
    </xf>
    <xf numFmtId="55" fontId="18" fillId="0" borderId="0" xfId="0" applyNumberFormat="1" applyFont="1" applyAlignment="1">
      <alignment horizont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219074</xdr:colOff>
      <xdr:row>10</xdr:row>
      <xdr:rowOff>57149</xdr:rowOff>
    </xdr:from>
    <xdr:to>
      <xdr:col>9</xdr:col>
      <xdr:colOff>19050</xdr:colOff>
      <xdr:row>13</xdr:row>
      <xdr:rowOff>66674</xdr:rowOff>
    </xdr:to>
    <xdr:sp macro="" textlink="">
      <xdr:nvSpPr>
        <xdr:cNvPr id="3" name="吹き出し: 円形 2">
          <a:extLst>
            <a:ext uri="{FF2B5EF4-FFF2-40B4-BE49-F238E27FC236}">
              <a16:creationId xmlns:a16="http://schemas.microsoft.com/office/drawing/2014/main" id="{768FFFD9-C10E-4E34-BB69-29884A2EB46B}"/>
            </a:ext>
          </a:extLst>
        </xdr:cNvPr>
        <xdr:cNvSpPr/>
      </xdr:nvSpPr>
      <xdr:spPr bwMode="auto">
        <a:xfrm>
          <a:off x="4076699" y="1914524"/>
          <a:ext cx="2581276" cy="523875"/>
        </a:xfrm>
        <a:prstGeom prst="wedgeEllipseCallout">
          <a:avLst>
            <a:gd name="adj1" fmla="val -31534"/>
            <a:gd name="adj2" fmla="val 58864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rtl="0"/>
          <a:r>
            <a:rPr lang="ja-JP" altLang="ja-JP" sz="900" b="1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各明細の旅費内訳には、税込</a:t>
          </a:r>
          <a:endParaRPr lang="ja-JP" altLang="ja-JP" sz="900">
            <a:solidFill>
              <a:srgbClr val="FF0000"/>
            </a:solidFill>
            <a:effectLst/>
          </a:endParaRPr>
        </a:p>
        <a:p>
          <a:pPr rtl="0"/>
          <a:r>
            <a:rPr lang="ja-JP" altLang="ja-JP" sz="900" b="1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金額で入力願います。</a:t>
          </a:r>
          <a:endParaRPr lang="ja-JP" altLang="ja-JP" sz="900">
            <a:solidFill>
              <a:srgbClr val="FF0000"/>
            </a:solidFill>
            <a:effectLst/>
          </a:endParaRPr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9525</xdr:colOff>
      <xdr:row>33</xdr:row>
      <xdr:rowOff>57150</xdr:rowOff>
    </xdr:from>
    <xdr:to>
      <xdr:col>8</xdr:col>
      <xdr:colOff>495300</xdr:colOff>
      <xdr:row>42</xdr:row>
      <xdr:rowOff>142875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AD252FED-A00D-4FFB-8E71-B367786CF0F4}"/>
            </a:ext>
          </a:extLst>
        </xdr:cNvPr>
        <xdr:cNvSpPr/>
      </xdr:nvSpPr>
      <xdr:spPr bwMode="auto">
        <a:xfrm>
          <a:off x="1790700" y="5819775"/>
          <a:ext cx="4648200" cy="1628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rtl="0"/>
          <a:r>
            <a:rPr lang="ja-JP" altLang="ja-JP" sz="1100" b="1" i="0" baseline="0">
              <a:solidFill>
                <a:srgbClr val="00B0F0"/>
              </a:solidFill>
              <a:effectLst/>
              <a:latin typeface="+mn-lt"/>
              <a:ea typeface="+mn-ea"/>
              <a:cs typeface="+mn-cs"/>
            </a:rPr>
            <a:t>注意事項</a:t>
          </a:r>
          <a:endParaRPr lang="ja-JP" altLang="ja-JP">
            <a:solidFill>
              <a:srgbClr val="00B0F0"/>
            </a:solidFill>
            <a:effectLst/>
          </a:endParaRPr>
        </a:p>
        <a:p>
          <a:pPr rtl="0"/>
          <a:r>
            <a:rPr lang="en-US" altLang="ja-JP" sz="1100" b="1" i="0" baseline="0">
              <a:solidFill>
                <a:srgbClr val="00B0F0"/>
              </a:solidFill>
              <a:effectLst/>
              <a:latin typeface="+mn-lt"/>
              <a:ea typeface="+mn-ea"/>
              <a:cs typeface="+mn-cs"/>
            </a:rPr>
            <a:t>※</a:t>
          </a:r>
          <a:r>
            <a:rPr lang="ja-JP" altLang="ja-JP" sz="1100" b="1" i="0" baseline="0">
              <a:solidFill>
                <a:srgbClr val="00B0F0"/>
              </a:solidFill>
              <a:effectLst/>
              <a:latin typeface="+mn-lt"/>
              <a:ea typeface="+mn-ea"/>
              <a:cs typeface="+mn-cs"/>
            </a:rPr>
            <a:t>　申請内容（年月日、経路、用件、旅費内訳）が正確に記入してください。</a:t>
          </a:r>
          <a:endParaRPr lang="en-US" altLang="ja-JP" sz="1100" b="1" i="0" baseline="0">
            <a:solidFill>
              <a:srgbClr val="00B0F0"/>
            </a:solidFill>
            <a:effectLst/>
            <a:latin typeface="+mn-lt"/>
            <a:ea typeface="+mn-ea"/>
            <a:cs typeface="+mn-cs"/>
          </a:endParaRPr>
        </a:p>
        <a:p>
          <a:pPr rtl="0"/>
          <a:endParaRPr lang="ja-JP" altLang="ja-JP">
            <a:solidFill>
              <a:srgbClr val="00B0F0"/>
            </a:solidFill>
            <a:effectLst/>
          </a:endParaRPr>
        </a:p>
        <a:p>
          <a:pPr rtl="0"/>
          <a:r>
            <a:rPr lang="en-US" altLang="ja-JP" sz="1100" b="1" i="0" baseline="0">
              <a:solidFill>
                <a:srgbClr val="00B0F0"/>
              </a:solidFill>
              <a:effectLst/>
              <a:latin typeface="+mn-lt"/>
              <a:ea typeface="+mn-ea"/>
              <a:cs typeface="+mn-cs"/>
            </a:rPr>
            <a:t>※</a:t>
          </a:r>
          <a:r>
            <a:rPr lang="ja-JP" altLang="ja-JP" sz="1100" b="1" i="0" baseline="0">
              <a:solidFill>
                <a:srgbClr val="00B0F0"/>
              </a:solidFill>
              <a:effectLst/>
              <a:latin typeface="+mn-lt"/>
              <a:ea typeface="+mn-ea"/>
              <a:cs typeface="+mn-cs"/>
            </a:rPr>
            <a:t>　提出期限について</a:t>
          </a:r>
          <a:endParaRPr lang="ja-JP" altLang="ja-JP">
            <a:solidFill>
              <a:srgbClr val="00B0F0"/>
            </a:solidFill>
            <a:effectLst/>
          </a:endParaRPr>
        </a:p>
        <a:p>
          <a:pPr rtl="0"/>
          <a:r>
            <a:rPr lang="ja-JP" altLang="ja-JP" sz="1100" b="1" i="0" baseline="0">
              <a:solidFill>
                <a:srgbClr val="00B0F0"/>
              </a:solidFill>
              <a:effectLst/>
              <a:latin typeface="+mn-lt"/>
              <a:ea typeface="+mn-ea"/>
              <a:cs typeface="+mn-cs"/>
            </a:rPr>
            <a:t>       当月で発生した交通費などは「旅費交通費等精算書【国内】」を記入し、</a:t>
          </a:r>
          <a:r>
            <a:rPr lang="ja-JP" altLang="ja-JP" sz="1100" b="0" i="0" baseline="0">
              <a:solidFill>
                <a:srgbClr val="00B0F0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en-US" altLang="ja-JP" sz="1100" b="0" i="0" baseline="0">
              <a:solidFill>
                <a:srgbClr val="00B0F0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ja-JP" altLang="ja-JP" sz="1100" b="1" i="0" baseline="0">
              <a:solidFill>
                <a:srgbClr val="00B0F0"/>
              </a:solidFill>
              <a:effectLst/>
              <a:latin typeface="+mn-lt"/>
              <a:ea typeface="+mn-ea"/>
              <a:cs typeface="+mn-cs"/>
            </a:rPr>
            <a:t>翌月第</a:t>
          </a:r>
          <a:r>
            <a:rPr lang="en-US" altLang="ja-JP" sz="1100" b="1" i="0" baseline="0">
              <a:solidFill>
                <a:srgbClr val="00B0F0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lang="ja-JP" altLang="ja-JP" sz="1100" b="1" i="0" baseline="0">
              <a:solidFill>
                <a:srgbClr val="00B0F0"/>
              </a:solidFill>
              <a:effectLst/>
              <a:latin typeface="+mn-lt"/>
              <a:ea typeface="+mn-ea"/>
              <a:cs typeface="+mn-cs"/>
            </a:rPr>
            <a:t>営業日までに管理部宛に（</a:t>
          </a:r>
          <a:r>
            <a:rPr lang="en-US" altLang="ja-JP" sz="1100" b="1" i="0" baseline="0">
              <a:solidFill>
                <a:srgbClr val="00B0F0"/>
              </a:solidFill>
              <a:effectLst/>
              <a:latin typeface="+mn-lt"/>
              <a:ea typeface="+mn-ea"/>
              <a:cs typeface="+mn-cs"/>
            </a:rPr>
            <a:t>kinmu@wain.co.jp)</a:t>
          </a:r>
          <a:r>
            <a:rPr lang="ja-JP" altLang="ja-JP" sz="1100" b="1" i="0" baseline="0">
              <a:solidFill>
                <a:srgbClr val="00B0F0"/>
              </a:solidFill>
              <a:effectLst/>
              <a:latin typeface="+mn-lt"/>
              <a:ea typeface="+mn-ea"/>
              <a:cs typeface="+mn-cs"/>
            </a:rPr>
            <a:t>ご提出ください。</a:t>
          </a:r>
          <a:endParaRPr lang="ja-JP" altLang="ja-JP">
            <a:solidFill>
              <a:srgbClr val="00B0F0"/>
            </a:solidFill>
            <a:effectLst/>
          </a:endParaRPr>
        </a:p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2"/>
  <sheetViews>
    <sheetView showGridLines="0" tabSelected="1" view="pageBreakPreview" zoomScale="85" zoomScaleNormal="85" zoomScaleSheetLayoutView="85" workbookViewId="0">
      <selection activeCell="G15" sqref="G15"/>
    </sheetView>
  </sheetViews>
  <sheetFormatPr defaultRowHeight="13"/>
  <cols>
    <col min="1" max="1" width="1.6328125" customWidth="1"/>
    <col min="2" max="2" width="9.6328125" customWidth="1"/>
    <col min="3" max="3" width="12.08984375" customWidth="1"/>
    <col min="4" max="4" width="2.90625" bestFit="1" customWidth="1"/>
    <col min="5" max="6" width="13.6328125" customWidth="1"/>
    <col min="7" max="10" width="9.08984375" customWidth="1"/>
    <col min="11" max="11" width="10.6328125" customWidth="1"/>
  </cols>
  <sheetData>
    <row r="1" spans="1:14" ht="13.5" customHeight="1">
      <c r="B1" s="86"/>
    </row>
    <row r="2" spans="1:14" ht="13.5" customHeight="1">
      <c r="B2" s="139"/>
      <c r="C2" s="139"/>
      <c r="D2" s="110"/>
    </row>
    <row r="3" spans="1:14" ht="19">
      <c r="B3" s="140" t="s">
        <v>27</v>
      </c>
      <c r="C3" s="140"/>
      <c r="D3" s="140"/>
      <c r="E3" s="140"/>
      <c r="F3" s="140"/>
      <c r="G3" s="140"/>
      <c r="H3" s="140"/>
      <c r="I3" s="140"/>
      <c r="J3" s="140"/>
      <c r="K3" s="140"/>
      <c r="N3" s="1"/>
    </row>
    <row r="4" spans="1:14" s="11" customFormat="1" ht="16.5">
      <c r="B4" s="149">
        <v>46113</v>
      </c>
      <c r="C4" s="149"/>
      <c r="D4" s="149"/>
      <c r="E4" s="149"/>
      <c r="F4" s="149"/>
      <c r="G4" s="149"/>
      <c r="H4" s="149"/>
      <c r="I4" s="149"/>
      <c r="J4" s="149"/>
      <c r="K4" s="149"/>
    </row>
    <row r="5" spans="1:14" ht="19">
      <c r="A5" s="43"/>
      <c r="B5" s="20"/>
      <c r="C5" s="20"/>
      <c r="D5" s="20"/>
      <c r="E5" s="23"/>
      <c r="F5" s="38" t="s">
        <v>15</v>
      </c>
      <c r="G5" s="141" t="s">
        <v>40</v>
      </c>
      <c r="H5" s="141"/>
      <c r="I5" s="141"/>
      <c r="J5" s="141"/>
      <c r="K5" s="141"/>
      <c r="N5" s="1"/>
    </row>
    <row r="6" spans="1:14" s="11" customFormat="1" ht="9.5">
      <c r="B6" s="25"/>
      <c r="C6" s="25"/>
      <c r="D6" s="25"/>
      <c r="E6" s="25"/>
      <c r="F6" s="25"/>
      <c r="G6" s="25"/>
      <c r="H6" s="25"/>
      <c r="I6" s="25"/>
      <c r="J6" s="25"/>
      <c r="N6" s="26"/>
    </row>
    <row r="7" spans="1:14" s="37" customFormat="1" ht="13.5" thickBot="1">
      <c r="A7" s="2"/>
      <c r="B7" s="21" t="s">
        <v>12</v>
      </c>
      <c r="C7" s="32"/>
      <c r="D7" s="32"/>
      <c r="E7" s="33">
        <f>K36</f>
        <v>11336</v>
      </c>
      <c r="F7" s="24"/>
      <c r="G7" s="34"/>
      <c r="H7" s="35"/>
      <c r="I7" s="36"/>
      <c r="J7" s="36"/>
    </row>
    <row r="8" spans="1:14" s="11" customFormat="1" ht="10.5" thickTop="1" thickBot="1">
      <c r="B8" s="25"/>
      <c r="C8" s="25"/>
      <c r="D8" s="25"/>
      <c r="E8" s="25"/>
      <c r="F8" s="25"/>
      <c r="G8" s="25"/>
      <c r="H8" s="25"/>
      <c r="I8" s="25"/>
      <c r="J8" s="25"/>
    </row>
    <row r="9" spans="1:14" s="2" customFormat="1">
      <c r="B9" s="76" t="s">
        <v>9</v>
      </c>
      <c r="C9" s="150" t="s">
        <v>0</v>
      </c>
      <c r="D9" s="151"/>
      <c r="E9" s="152"/>
      <c r="F9" s="77" t="s">
        <v>1</v>
      </c>
      <c r="G9" s="78" t="s">
        <v>10</v>
      </c>
      <c r="H9" s="79"/>
      <c r="I9" s="79"/>
      <c r="J9" s="80"/>
      <c r="K9" s="81" t="s">
        <v>13</v>
      </c>
    </row>
    <row r="10" spans="1:14">
      <c r="B10" s="82" t="s">
        <v>16</v>
      </c>
      <c r="C10" s="153"/>
      <c r="D10" s="154"/>
      <c r="E10" s="155"/>
      <c r="F10" s="83"/>
      <c r="G10" s="84" t="s">
        <v>2</v>
      </c>
      <c r="H10" s="84" t="s">
        <v>14</v>
      </c>
      <c r="I10" s="84" t="s">
        <v>5</v>
      </c>
      <c r="J10" s="84" t="s">
        <v>4</v>
      </c>
      <c r="K10" s="85"/>
    </row>
    <row r="11" spans="1:14">
      <c r="A11" s="2"/>
      <c r="B11" s="112">
        <v>46113</v>
      </c>
      <c r="C11" s="113" t="s">
        <v>35</v>
      </c>
      <c r="D11" s="114" t="s">
        <v>29</v>
      </c>
      <c r="E11" s="115" t="s">
        <v>36</v>
      </c>
      <c r="F11" s="116" t="s">
        <v>34</v>
      </c>
      <c r="G11" s="117">
        <v>272</v>
      </c>
      <c r="H11" s="117"/>
      <c r="I11" s="117"/>
      <c r="J11" s="118"/>
      <c r="K11" s="121">
        <f t="shared" ref="K11:K35" si="0">SUM(G11:J11)</f>
        <v>272</v>
      </c>
      <c r="N11" s="5"/>
    </row>
    <row r="12" spans="1:14">
      <c r="A12" s="2"/>
      <c r="B12" s="112">
        <v>46113</v>
      </c>
      <c r="C12" s="113" t="s">
        <v>36</v>
      </c>
      <c r="D12" s="114" t="s">
        <v>29</v>
      </c>
      <c r="E12" s="115" t="s">
        <v>35</v>
      </c>
      <c r="F12" s="116" t="s">
        <v>38</v>
      </c>
      <c r="G12" s="117">
        <v>272</v>
      </c>
      <c r="H12" s="117"/>
      <c r="I12" s="117"/>
      <c r="J12" s="118"/>
      <c r="K12" s="121">
        <f t="shared" si="0"/>
        <v>272</v>
      </c>
    </row>
    <row r="13" spans="1:14">
      <c r="A13" s="2"/>
      <c r="B13" s="112" t="s">
        <v>39</v>
      </c>
      <c r="C13" s="113" t="s">
        <v>35</v>
      </c>
      <c r="D13" s="114" t="s">
        <v>29</v>
      </c>
      <c r="E13" s="115" t="s">
        <v>36</v>
      </c>
      <c r="F13" s="116" t="s">
        <v>37</v>
      </c>
      <c r="G13" s="117">
        <v>10520</v>
      </c>
      <c r="H13" s="117"/>
      <c r="I13" s="117"/>
      <c r="J13" s="118"/>
      <c r="K13" s="121">
        <f t="shared" si="0"/>
        <v>10520</v>
      </c>
    </row>
    <row r="14" spans="1:14">
      <c r="A14" s="2"/>
      <c r="B14" s="112">
        <v>46115</v>
      </c>
      <c r="C14" s="113" t="s">
        <v>35</v>
      </c>
      <c r="D14" s="114" t="s">
        <v>29</v>
      </c>
      <c r="E14" s="115" t="s">
        <v>36</v>
      </c>
      <c r="F14" s="116" t="s">
        <v>34</v>
      </c>
      <c r="G14" s="117">
        <v>272</v>
      </c>
      <c r="H14" s="117"/>
      <c r="I14" s="117"/>
      <c r="J14" s="118"/>
      <c r="K14" s="121">
        <f t="shared" si="0"/>
        <v>272</v>
      </c>
    </row>
    <row r="15" spans="1:14">
      <c r="A15" s="2"/>
      <c r="B15" s="112"/>
      <c r="C15" s="113"/>
      <c r="D15" s="114" t="s">
        <v>29</v>
      </c>
      <c r="E15" s="115"/>
      <c r="F15" s="116"/>
      <c r="G15" s="117"/>
      <c r="H15" s="117"/>
      <c r="I15" s="117"/>
      <c r="J15" s="118"/>
      <c r="K15" s="121">
        <f t="shared" si="0"/>
        <v>0</v>
      </c>
    </row>
    <row r="16" spans="1:14">
      <c r="A16" s="2"/>
      <c r="B16" s="112"/>
      <c r="C16" s="113"/>
      <c r="D16" s="114" t="s">
        <v>29</v>
      </c>
      <c r="E16" s="115"/>
      <c r="F16" s="116"/>
      <c r="G16" s="117"/>
      <c r="H16" s="117"/>
      <c r="I16" s="117"/>
      <c r="J16" s="118"/>
      <c r="K16" s="121">
        <f t="shared" si="0"/>
        <v>0</v>
      </c>
    </row>
    <row r="17" spans="1:11">
      <c r="A17" s="2"/>
      <c r="B17" s="112"/>
      <c r="C17" s="113"/>
      <c r="D17" s="114" t="s">
        <v>29</v>
      </c>
      <c r="E17" s="115"/>
      <c r="F17" s="116"/>
      <c r="G17" s="117"/>
      <c r="H17" s="117"/>
      <c r="I17" s="117"/>
      <c r="J17" s="118"/>
      <c r="K17" s="121">
        <f t="shared" si="0"/>
        <v>0</v>
      </c>
    </row>
    <row r="18" spans="1:11">
      <c r="A18" s="2"/>
      <c r="B18" s="112"/>
      <c r="C18" s="113"/>
      <c r="D18" s="114" t="s">
        <v>29</v>
      </c>
      <c r="E18" s="115"/>
      <c r="F18" s="116"/>
      <c r="G18" s="117"/>
      <c r="H18" s="117"/>
      <c r="I18" s="117"/>
      <c r="J18" s="118"/>
      <c r="K18" s="121">
        <f t="shared" si="0"/>
        <v>0</v>
      </c>
    </row>
    <row r="19" spans="1:11">
      <c r="A19" s="2"/>
      <c r="B19" s="112"/>
      <c r="C19" s="113"/>
      <c r="D19" s="114" t="s">
        <v>29</v>
      </c>
      <c r="E19" s="115"/>
      <c r="F19" s="116"/>
      <c r="G19" s="117"/>
      <c r="H19" s="117"/>
      <c r="I19" s="117"/>
      <c r="J19" s="118"/>
      <c r="K19" s="121">
        <f t="shared" si="0"/>
        <v>0</v>
      </c>
    </row>
    <row r="20" spans="1:11">
      <c r="A20" s="2"/>
      <c r="B20" s="112"/>
      <c r="C20" s="113"/>
      <c r="D20" s="114" t="s">
        <v>29</v>
      </c>
      <c r="E20" s="115"/>
      <c r="F20" s="116"/>
      <c r="G20" s="117"/>
      <c r="H20" s="117"/>
      <c r="I20" s="117"/>
      <c r="J20" s="118"/>
      <c r="K20" s="121">
        <f t="shared" si="0"/>
        <v>0</v>
      </c>
    </row>
    <row r="21" spans="1:11">
      <c r="A21" s="2"/>
      <c r="B21" s="112"/>
      <c r="C21" s="113"/>
      <c r="D21" s="114" t="s">
        <v>29</v>
      </c>
      <c r="E21" s="115"/>
      <c r="F21" s="116"/>
      <c r="G21" s="117"/>
      <c r="H21" s="117"/>
      <c r="I21" s="117"/>
      <c r="J21" s="118"/>
      <c r="K21" s="121">
        <f t="shared" si="0"/>
        <v>0</v>
      </c>
    </row>
    <row r="22" spans="1:11">
      <c r="A22" s="2"/>
      <c r="B22" s="112"/>
      <c r="C22" s="113"/>
      <c r="D22" s="114" t="s">
        <v>29</v>
      </c>
      <c r="E22" s="115"/>
      <c r="F22" s="116"/>
      <c r="G22" s="117"/>
      <c r="H22" s="117"/>
      <c r="I22" s="117"/>
      <c r="J22" s="118"/>
      <c r="K22" s="121">
        <f t="shared" si="0"/>
        <v>0</v>
      </c>
    </row>
    <row r="23" spans="1:11">
      <c r="A23" s="2"/>
      <c r="B23" s="112"/>
      <c r="C23" s="113"/>
      <c r="D23" s="114" t="s">
        <v>29</v>
      </c>
      <c r="E23" s="115"/>
      <c r="F23" s="116"/>
      <c r="G23" s="117"/>
      <c r="H23" s="117"/>
      <c r="I23" s="117"/>
      <c r="J23" s="118"/>
      <c r="K23" s="121">
        <f t="shared" si="0"/>
        <v>0</v>
      </c>
    </row>
    <row r="24" spans="1:11">
      <c r="A24" s="2"/>
      <c r="B24" s="112"/>
      <c r="C24" s="113"/>
      <c r="D24" s="114" t="s">
        <v>29</v>
      </c>
      <c r="E24" s="115"/>
      <c r="F24" s="116"/>
      <c r="G24" s="117"/>
      <c r="H24" s="117"/>
      <c r="I24" s="117"/>
      <c r="J24" s="118"/>
      <c r="K24" s="121">
        <f t="shared" si="0"/>
        <v>0</v>
      </c>
    </row>
    <row r="25" spans="1:11">
      <c r="A25" s="2"/>
      <c r="B25" s="112"/>
      <c r="C25" s="119"/>
      <c r="D25" s="114" t="s">
        <v>29</v>
      </c>
      <c r="E25" s="120"/>
      <c r="F25" s="116"/>
      <c r="G25" s="117"/>
      <c r="H25" s="117"/>
      <c r="I25" s="117"/>
      <c r="J25" s="118"/>
      <c r="K25" s="121">
        <f t="shared" si="0"/>
        <v>0</v>
      </c>
    </row>
    <row r="26" spans="1:11">
      <c r="A26" s="2"/>
      <c r="B26" s="112"/>
      <c r="C26" s="119"/>
      <c r="D26" s="114" t="s">
        <v>29</v>
      </c>
      <c r="E26" s="120"/>
      <c r="F26" s="116"/>
      <c r="G26" s="117"/>
      <c r="H26" s="117"/>
      <c r="I26" s="117"/>
      <c r="J26" s="118"/>
      <c r="K26" s="121">
        <f t="shared" si="0"/>
        <v>0</v>
      </c>
    </row>
    <row r="27" spans="1:11">
      <c r="A27" s="2"/>
      <c r="B27" s="112"/>
      <c r="C27" s="119"/>
      <c r="D27" s="114" t="s">
        <v>29</v>
      </c>
      <c r="E27" s="120"/>
      <c r="F27" s="116"/>
      <c r="G27" s="117"/>
      <c r="H27" s="117"/>
      <c r="I27" s="117"/>
      <c r="J27" s="118"/>
      <c r="K27" s="121">
        <f t="shared" si="0"/>
        <v>0</v>
      </c>
    </row>
    <row r="28" spans="1:11">
      <c r="A28" s="2"/>
      <c r="B28" s="112"/>
      <c r="C28" s="119"/>
      <c r="D28" s="114" t="s">
        <v>29</v>
      </c>
      <c r="E28" s="120"/>
      <c r="F28" s="116"/>
      <c r="G28" s="117"/>
      <c r="H28" s="117"/>
      <c r="I28" s="117"/>
      <c r="J28" s="118"/>
      <c r="K28" s="121">
        <f t="shared" si="0"/>
        <v>0</v>
      </c>
    </row>
    <row r="29" spans="1:11">
      <c r="A29" s="2"/>
      <c r="B29" s="112"/>
      <c r="C29" s="119"/>
      <c r="D29" s="114" t="s">
        <v>29</v>
      </c>
      <c r="E29" s="120"/>
      <c r="F29" s="116"/>
      <c r="G29" s="117"/>
      <c r="H29" s="117"/>
      <c r="I29" s="117"/>
      <c r="J29" s="118"/>
      <c r="K29" s="121">
        <f t="shared" si="0"/>
        <v>0</v>
      </c>
    </row>
    <row r="30" spans="1:11">
      <c r="A30" s="2"/>
      <c r="B30" s="112"/>
      <c r="C30" s="113"/>
      <c r="D30" s="114" t="s">
        <v>29</v>
      </c>
      <c r="E30" s="115"/>
      <c r="F30" s="116"/>
      <c r="G30" s="117"/>
      <c r="H30" s="117"/>
      <c r="I30" s="117"/>
      <c r="J30" s="118"/>
      <c r="K30" s="121">
        <f t="shared" si="0"/>
        <v>0</v>
      </c>
    </row>
    <row r="31" spans="1:11">
      <c r="A31" s="2"/>
      <c r="B31" s="112"/>
      <c r="C31" s="113"/>
      <c r="D31" s="114" t="s">
        <v>29</v>
      </c>
      <c r="E31" s="115"/>
      <c r="F31" s="116"/>
      <c r="G31" s="117"/>
      <c r="H31" s="117"/>
      <c r="I31" s="117"/>
      <c r="J31" s="118"/>
      <c r="K31" s="121">
        <f t="shared" si="0"/>
        <v>0</v>
      </c>
    </row>
    <row r="32" spans="1:11">
      <c r="A32" s="2"/>
      <c r="B32" s="112"/>
      <c r="C32" s="113"/>
      <c r="D32" s="114" t="s">
        <v>29</v>
      </c>
      <c r="E32" s="115"/>
      <c r="F32" s="116"/>
      <c r="G32" s="117"/>
      <c r="H32" s="117"/>
      <c r="I32" s="117"/>
      <c r="J32" s="118"/>
      <c r="K32" s="121">
        <f t="shared" si="0"/>
        <v>0</v>
      </c>
    </row>
    <row r="33" spans="1:14">
      <c r="A33" s="2"/>
      <c r="B33" s="112"/>
      <c r="C33" s="113"/>
      <c r="D33" s="114" t="s">
        <v>29</v>
      </c>
      <c r="E33" s="115"/>
      <c r="F33" s="116"/>
      <c r="G33" s="117"/>
      <c r="H33" s="117"/>
      <c r="I33" s="117"/>
      <c r="J33" s="118"/>
      <c r="K33" s="121">
        <f t="shared" si="0"/>
        <v>0</v>
      </c>
    </row>
    <row r="34" spans="1:14">
      <c r="A34" s="2"/>
      <c r="B34" s="112"/>
      <c r="C34" s="113"/>
      <c r="D34" s="114" t="s">
        <v>29</v>
      </c>
      <c r="E34" s="115"/>
      <c r="F34" s="116"/>
      <c r="G34" s="117"/>
      <c r="H34" s="117"/>
      <c r="I34" s="117"/>
      <c r="J34" s="118"/>
      <c r="K34" s="121">
        <f t="shared" si="0"/>
        <v>0</v>
      </c>
    </row>
    <row r="35" spans="1:14" ht="13.5" thickBot="1">
      <c r="A35" s="2"/>
      <c r="B35" s="112"/>
      <c r="C35" s="113"/>
      <c r="D35" s="114" t="s">
        <v>29</v>
      </c>
      <c r="E35" s="115"/>
      <c r="F35" s="116"/>
      <c r="G35" s="117"/>
      <c r="H35" s="117"/>
      <c r="I35" s="117"/>
      <c r="J35" s="118"/>
      <c r="K35" s="121">
        <f t="shared" si="0"/>
        <v>0</v>
      </c>
    </row>
    <row r="36" spans="1:14" s="4" customFormat="1" ht="12.5" thickBot="1">
      <c r="B36" s="55"/>
      <c r="C36" s="55"/>
      <c r="D36" s="55"/>
      <c r="E36" s="56"/>
      <c r="F36" s="56"/>
      <c r="G36" s="146"/>
      <c r="H36" s="147"/>
      <c r="I36" s="142" t="s">
        <v>6</v>
      </c>
      <c r="J36" s="143"/>
      <c r="K36" s="122">
        <f>SUM(K11:K35)</f>
        <v>11336</v>
      </c>
      <c r="L36" s="47"/>
      <c r="M36" s="47"/>
      <c r="N36" s="48"/>
    </row>
    <row r="37" spans="1:14" s="37" customFormat="1" ht="13.5" thickBot="1">
      <c r="A37" s="2"/>
      <c r="B37" s="10" t="s">
        <v>8</v>
      </c>
      <c r="C37" s="57"/>
      <c r="D37" s="57"/>
      <c r="E37" s="57"/>
      <c r="F37" s="2"/>
      <c r="G37" s="148"/>
      <c r="H37" s="148"/>
      <c r="I37" s="144" t="s">
        <v>7</v>
      </c>
      <c r="J37" s="145"/>
      <c r="K37" s="123">
        <f>K36-ROUNDDOWN(K36*10/110,0)</f>
        <v>10306</v>
      </c>
      <c r="L37" s="49"/>
      <c r="M37" s="49"/>
      <c r="N37" s="50"/>
    </row>
    <row r="38" spans="1:14" s="58" customFormat="1" ht="8" thickBot="1"/>
    <row r="39" spans="1:14" s="4" customFormat="1">
      <c r="A39" s="2"/>
      <c r="B39" s="124" t="s">
        <v>11</v>
      </c>
      <c r="C39" s="125"/>
      <c r="D39" s="125"/>
      <c r="E39" s="126"/>
      <c r="F39" s="125"/>
      <c r="G39" s="126"/>
      <c r="H39" s="126"/>
      <c r="I39" s="126"/>
      <c r="J39" s="126"/>
      <c r="K39" s="127"/>
    </row>
    <row r="40" spans="1:14" s="4" customFormat="1">
      <c r="A40" s="2"/>
      <c r="B40" s="128"/>
      <c r="C40" s="129"/>
      <c r="D40" s="129"/>
      <c r="E40" s="130"/>
      <c r="F40" s="130"/>
      <c r="G40" s="129"/>
      <c r="H40" s="129"/>
      <c r="I40" s="129"/>
      <c r="J40" s="129"/>
      <c r="K40" s="131"/>
    </row>
    <row r="41" spans="1:14" s="4" customFormat="1">
      <c r="A41" s="2"/>
      <c r="B41" s="132"/>
      <c r="C41" s="133"/>
      <c r="D41" s="133"/>
      <c r="E41" s="130"/>
      <c r="F41" s="130"/>
      <c r="G41" s="134"/>
      <c r="H41" s="134"/>
      <c r="I41" s="134"/>
      <c r="J41" s="134"/>
      <c r="K41" s="135"/>
    </row>
    <row r="42" spans="1:14" s="4" customFormat="1">
      <c r="A42" s="2"/>
      <c r="B42" s="132"/>
      <c r="C42" s="133"/>
      <c r="D42" s="133"/>
      <c r="E42" s="130"/>
      <c r="F42" s="130"/>
      <c r="G42" s="134"/>
      <c r="H42" s="134"/>
      <c r="I42" s="134"/>
      <c r="J42" s="134"/>
      <c r="K42" s="135"/>
    </row>
    <row r="43" spans="1:14" s="4" customFormat="1">
      <c r="A43" s="2"/>
      <c r="B43" s="132"/>
      <c r="C43" s="133"/>
      <c r="D43" s="133"/>
      <c r="E43" s="130"/>
      <c r="F43" s="130"/>
      <c r="G43" s="134"/>
      <c r="H43" s="134"/>
      <c r="I43" s="134"/>
      <c r="J43" s="134"/>
      <c r="K43" s="135"/>
    </row>
    <row r="44" spans="1:14" s="4" customFormat="1">
      <c r="A44" s="2"/>
      <c r="B44" s="132"/>
      <c r="C44" s="133"/>
      <c r="D44" s="133"/>
      <c r="E44" s="130"/>
      <c r="F44" s="130"/>
      <c r="G44" s="134"/>
      <c r="H44" s="134"/>
      <c r="I44" s="134"/>
      <c r="J44" s="134"/>
      <c r="K44" s="135"/>
    </row>
    <row r="45" spans="1:14" s="4" customFormat="1">
      <c r="A45" s="2"/>
      <c r="B45" s="132"/>
      <c r="C45" s="133"/>
      <c r="D45" s="133"/>
      <c r="E45" s="130"/>
      <c r="F45" s="130"/>
      <c r="G45" s="134"/>
      <c r="H45" s="134"/>
      <c r="I45" s="134"/>
      <c r="J45" s="134"/>
      <c r="K45" s="135"/>
    </row>
    <row r="46" spans="1:14" s="4" customFormat="1">
      <c r="A46" s="2"/>
      <c r="B46" s="132"/>
      <c r="C46" s="133"/>
      <c r="D46" s="133"/>
      <c r="E46" s="130"/>
      <c r="F46" s="130"/>
      <c r="G46" s="134"/>
      <c r="H46" s="134"/>
      <c r="I46" s="134"/>
      <c r="J46" s="134"/>
      <c r="K46" s="135"/>
    </row>
    <row r="47" spans="1:14" s="4" customFormat="1">
      <c r="A47" s="2"/>
      <c r="B47" s="132"/>
      <c r="C47" s="133"/>
      <c r="D47" s="133"/>
      <c r="E47" s="130"/>
      <c r="F47" s="130"/>
      <c r="G47" s="134"/>
      <c r="H47" s="134"/>
      <c r="I47" s="134"/>
      <c r="J47" s="134"/>
      <c r="K47" s="135"/>
    </row>
    <row r="48" spans="1:14" s="11" customFormat="1" ht="13.5" thickBot="1">
      <c r="A48" s="2"/>
      <c r="B48" s="136"/>
      <c r="C48" s="137"/>
      <c r="D48" s="137"/>
      <c r="E48" s="137"/>
      <c r="F48" s="137"/>
      <c r="G48" s="137"/>
      <c r="H48" s="137"/>
      <c r="I48" s="137"/>
      <c r="J48" s="137"/>
      <c r="K48" s="138"/>
    </row>
    <row r="49" spans="1:13" s="58" customFormat="1" ht="7.5"/>
    <row r="50" spans="1:13" s="39" customFormat="1" ht="11">
      <c r="B50" s="74" t="s">
        <v>17</v>
      </c>
      <c r="C50" s="42"/>
      <c r="D50" s="42"/>
    </row>
    <row r="51" spans="1:13" s="39" customFormat="1" ht="11">
      <c r="B51" s="40" t="s">
        <v>18</v>
      </c>
      <c r="C51" s="40"/>
      <c r="D51" s="40"/>
    </row>
    <row r="52" spans="1:13" s="39" customFormat="1" ht="11">
      <c r="B52" s="40" t="s">
        <v>24</v>
      </c>
      <c r="C52" s="40"/>
      <c r="D52" s="40"/>
      <c r="M52" s="41"/>
    </row>
    <row r="53" spans="1:13" s="39" customFormat="1" ht="11">
      <c r="B53" s="40" t="s">
        <v>23</v>
      </c>
      <c r="C53" s="40"/>
      <c r="D53" s="40"/>
    </row>
    <row r="54" spans="1:13" s="58" customFormat="1" ht="7.5">
      <c r="B54" s="61"/>
      <c r="C54" s="61"/>
      <c r="D54" s="61"/>
    </row>
    <row r="55" spans="1:13" s="58" customFormat="1" ht="7.5">
      <c r="B55" s="59"/>
      <c r="C55" s="59"/>
      <c r="D55" s="59"/>
      <c r="E55" s="60"/>
      <c r="F55" s="60"/>
      <c r="G55" s="60"/>
      <c r="H55" s="60"/>
      <c r="I55" s="60"/>
      <c r="J55" s="60"/>
      <c r="K55" s="60"/>
    </row>
    <row r="56" spans="1:13" s="4" customFormat="1" ht="12">
      <c r="B56" s="18" t="s">
        <v>28</v>
      </c>
      <c r="C56" s="18"/>
      <c r="D56" s="18"/>
    </row>
    <row r="57" spans="1:13" s="4" customFormat="1" ht="15" customHeight="1">
      <c r="A57" s="3"/>
      <c r="B57" s="18"/>
      <c r="C57" s="106"/>
      <c r="D57" s="105"/>
      <c r="E57" s="105"/>
      <c r="F57" s="68"/>
      <c r="H57" s="96"/>
      <c r="I57" s="97"/>
      <c r="J57" s="30" t="s">
        <v>22</v>
      </c>
      <c r="K57" s="30" t="s">
        <v>22</v>
      </c>
    </row>
    <row r="58" spans="1:13" s="11" customFormat="1" ht="7.5" customHeight="1">
      <c r="B58" s="27"/>
      <c r="C58" s="107"/>
      <c r="D58" s="27"/>
      <c r="F58" s="98"/>
      <c r="I58" s="98"/>
      <c r="J58" s="28"/>
      <c r="K58" s="28"/>
    </row>
    <row r="59" spans="1:13" s="4" customFormat="1" ht="15" customHeight="1">
      <c r="B59" s="99" t="s">
        <v>19</v>
      </c>
      <c r="C59" s="69"/>
      <c r="D59" s="18"/>
      <c r="F59" s="70"/>
      <c r="I59" s="70"/>
      <c r="J59" s="29"/>
      <c r="K59" s="29"/>
    </row>
    <row r="60" spans="1:13" s="4" customFormat="1" ht="15" customHeight="1">
      <c r="B60" s="75"/>
      <c r="C60" s="69"/>
      <c r="D60" s="18"/>
      <c r="F60" s="70"/>
      <c r="I60" s="70"/>
      <c r="J60" s="29"/>
      <c r="K60" s="29"/>
    </row>
    <row r="61" spans="1:13" s="4" customFormat="1" ht="15" customHeight="1">
      <c r="B61" s="18"/>
      <c r="C61" s="71"/>
      <c r="D61" s="111"/>
      <c r="E61" s="65"/>
      <c r="F61" s="72"/>
      <c r="I61" s="70"/>
      <c r="J61" s="95"/>
      <c r="K61" s="95"/>
    </row>
    <row r="62" spans="1:13" s="11" customFormat="1" ht="9.5">
      <c r="B62" s="27"/>
      <c r="C62" s="27"/>
      <c r="D62" s="27"/>
      <c r="K62" s="73"/>
    </row>
  </sheetData>
  <sheetProtection algorithmName="SHA-512" hashValue="Yvc63crgp93/sNqFLsMNo/tkPB9lVec1YAL3n2gaZIvKSJ84H3HzGux04P7LI01ZEMcKD2WZE9CMsqnN46Y6Aw==" saltValue="nHzf5PYsulVaM1hG3CWqxQ==" spinCount="100000" sheet="1" objects="1" scenarios="1"/>
  <mergeCells count="10">
    <mergeCell ref="B2:C2"/>
    <mergeCell ref="B3:K3"/>
    <mergeCell ref="G5:K5"/>
    <mergeCell ref="I36:J36"/>
    <mergeCell ref="I37:J37"/>
    <mergeCell ref="G36:H36"/>
    <mergeCell ref="G37:H37"/>
    <mergeCell ref="B4:K4"/>
    <mergeCell ref="C9:E9"/>
    <mergeCell ref="C10:E10"/>
  </mergeCells>
  <phoneticPr fontId="2"/>
  <printOptions horizontalCentered="1"/>
  <pageMargins left="0.55118110236220474" right="0.31496062992125984" top="0.55118110236220474" bottom="0.47244094488188981" header="0.39370078740157483" footer="0.31496062992125984"/>
  <pageSetup paperSize="9" scale="97" orientation="portrait" verticalDpi="300" r:id="rId1"/>
  <headerFooter alignWithMargins="0">
    <oddHeader>&amp;L&amp;9様式第６号&amp;R&amp;9㈱ウェイン管理部200807</oddHeader>
    <oddFooter>&amp;R&amp;P/&amp;N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2"/>
  <sheetViews>
    <sheetView showGridLines="0" zoomScaleNormal="100" zoomScaleSheetLayoutView="100" workbookViewId="0">
      <selection activeCell="J13" sqref="J13"/>
    </sheetView>
  </sheetViews>
  <sheetFormatPr defaultRowHeight="13"/>
  <cols>
    <col min="1" max="1" width="1.6328125" customWidth="1"/>
    <col min="2" max="2" width="9.6328125" customWidth="1"/>
    <col min="3" max="3" width="12.08984375" customWidth="1"/>
    <col min="4" max="5" width="13.6328125" customWidth="1"/>
    <col min="6" max="9" width="9.08984375" customWidth="1"/>
    <col min="10" max="10" width="10.6328125" customWidth="1"/>
  </cols>
  <sheetData>
    <row r="1" spans="1:14" ht="14">
      <c r="B1" s="86"/>
    </row>
    <row r="2" spans="1:14">
      <c r="B2" s="139"/>
      <c r="C2" s="139"/>
      <c r="I2" s="1"/>
      <c r="J2" s="2"/>
    </row>
    <row r="3" spans="1:14" ht="19">
      <c r="B3" s="140" t="s">
        <v>27</v>
      </c>
      <c r="C3" s="140"/>
      <c r="D3" s="140"/>
      <c r="E3" s="140"/>
      <c r="F3" s="140"/>
      <c r="G3" s="140"/>
      <c r="H3" s="140"/>
      <c r="I3" s="140"/>
      <c r="J3" s="140"/>
      <c r="M3" s="1"/>
    </row>
    <row r="4" spans="1:14" s="11" customFormat="1" ht="16.5">
      <c r="B4" s="161">
        <v>45017</v>
      </c>
      <c r="C4" s="161"/>
      <c r="D4" s="161"/>
      <c r="E4" s="161"/>
      <c r="F4" s="161"/>
      <c r="G4" s="161"/>
      <c r="H4" s="161"/>
      <c r="I4" s="161"/>
      <c r="J4" s="161"/>
    </row>
    <row r="5" spans="1:14" ht="19">
      <c r="A5" s="43"/>
      <c r="B5" s="20"/>
      <c r="C5" s="20"/>
      <c r="D5" s="23"/>
      <c r="E5" s="38" t="s">
        <v>15</v>
      </c>
      <c r="F5" s="160" t="s">
        <v>31</v>
      </c>
      <c r="G5" s="160"/>
      <c r="H5" s="160"/>
      <c r="I5" s="160"/>
      <c r="J5" s="22"/>
      <c r="M5" s="1"/>
    </row>
    <row r="6" spans="1:14" s="11" customFormat="1" ht="9.5">
      <c r="B6" s="25"/>
      <c r="C6" s="25"/>
      <c r="D6" s="25"/>
      <c r="E6" s="25"/>
      <c r="F6" s="25"/>
      <c r="G6" s="25"/>
      <c r="H6" s="25"/>
      <c r="I6" s="25"/>
      <c r="M6" s="26"/>
    </row>
    <row r="7" spans="1:14" s="2" customFormat="1" ht="13.5" thickBot="1">
      <c r="B7" s="21" t="s">
        <v>12</v>
      </c>
      <c r="C7" s="32"/>
      <c r="D7" s="33">
        <f>J31</f>
        <v>14830</v>
      </c>
      <c r="E7" s="24"/>
      <c r="F7" s="87"/>
      <c r="G7" s="88"/>
      <c r="H7" s="62"/>
      <c r="I7" s="62"/>
    </row>
    <row r="8" spans="1:14" s="11" customFormat="1" ht="10.5" thickTop="1" thickBot="1">
      <c r="B8" s="25"/>
      <c r="C8" s="25"/>
      <c r="D8" s="25"/>
      <c r="E8" s="25"/>
      <c r="F8" s="25"/>
      <c r="G8" s="25"/>
      <c r="H8" s="25"/>
      <c r="I8" s="25"/>
    </row>
    <row r="9" spans="1:14" s="2" customFormat="1">
      <c r="B9" s="76" t="s">
        <v>9</v>
      </c>
      <c r="C9" s="150" t="s">
        <v>0</v>
      </c>
      <c r="D9" s="152"/>
      <c r="E9" s="77" t="s">
        <v>1</v>
      </c>
      <c r="F9" s="78" t="s">
        <v>32</v>
      </c>
      <c r="G9" s="79"/>
      <c r="H9" s="79"/>
      <c r="I9" s="80"/>
      <c r="J9" s="81" t="s">
        <v>13</v>
      </c>
    </row>
    <row r="10" spans="1:14">
      <c r="B10" s="82" t="s">
        <v>21</v>
      </c>
      <c r="C10" s="153"/>
      <c r="D10" s="155"/>
      <c r="E10" s="83"/>
      <c r="F10" s="84" t="s">
        <v>2</v>
      </c>
      <c r="G10" s="84" t="s">
        <v>3</v>
      </c>
      <c r="H10" s="84" t="s">
        <v>5</v>
      </c>
      <c r="I10" s="84" t="s">
        <v>4</v>
      </c>
      <c r="J10" s="85"/>
    </row>
    <row r="11" spans="1:14">
      <c r="B11" s="101">
        <v>45005</v>
      </c>
      <c r="C11" s="156" t="s">
        <v>33</v>
      </c>
      <c r="D11" s="157"/>
      <c r="E11" s="100" t="s">
        <v>34</v>
      </c>
      <c r="F11" s="89">
        <v>640</v>
      </c>
      <c r="G11" s="89"/>
      <c r="H11" s="89"/>
      <c r="I11" s="90"/>
      <c r="J11" s="91">
        <f t="shared" ref="J11:J30" si="0">SUM(F11:I11)</f>
        <v>640</v>
      </c>
      <c r="N11" s="5"/>
    </row>
    <row r="12" spans="1:14">
      <c r="B12" s="101">
        <v>45007</v>
      </c>
      <c r="C12" s="103"/>
      <c r="D12" s="104"/>
      <c r="E12" s="100"/>
      <c r="F12" s="89"/>
      <c r="G12" s="89"/>
      <c r="H12" s="89"/>
      <c r="I12" s="90"/>
      <c r="J12" s="91">
        <f t="shared" si="0"/>
        <v>0</v>
      </c>
    </row>
    <row r="13" spans="1:14">
      <c r="B13" s="101">
        <v>45008</v>
      </c>
      <c r="C13" s="103"/>
      <c r="D13" s="104"/>
      <c r="E13" s="100"/>
      <c r="F13" s="89"/>
      <c r="G13" s="89"/>
      <c r="H13" s="89"/>
      <c r="I13" s="90"/>
      <c r="J13" s="91">
        <f t="shared" si="0"/>
        <v>0</v>
      </c>
    </row>
    <row r="14" spans="1:14">
      <c r="B14" s="101">
        <v>45010</v>
      </c>
      <c r="C14" s="156" t="s">
        <v>33</v>
      </c>
      <c r="D14" s="157"/>
      <c r="E14" s="100" t="s">
        <v>34</v>
      </c>
      <c r="F14" s="89">
        <v>640</v>
      </c>
      <c r="G14" s="89"/>
      <c r="H14" s="89"/>
      <c r="I14" s="90"/>
      <c r="J14" s="91">
        <f t="shared" si="0"/>
        <v>640</v>
      </c>
    </row>
    <row r="15" spans="1:14">
      <c r="B15" s="101">
        <v>44986</v>
      </c>
      <c r="C15" s="108" t="s">
        <v>30</v>
      </c>
      <c r="D15" s="109"/>
      <c r="E15" s="102" t="s">
        <v>25</v>
      </c>
      <c r="F15" s="7">
        <v>13550</v>
      </c>
      <c r="G15" s="7"/>
      <c r="H15" s="7"/>
      <c r="I15" s="8"/>
      <c r="J15" s="91">
        <f>SUM(F15:I15)</f>
        <v>13550</v>
      </c>
    </row>
    <row r="16" spans="1:14">
      <c r="B16" s="94"/>
      <c r="C16" s="158"/>
      <c r="D16" s="159"/>
      <c r="E16" s="102"/>
      <c r="F16" s="7"/>
      <c r="G16" s="7"/>
      <c r="H16" s="7"/>
      <c r="I16" s="8"/>
      <c r="J16" s="91">
        <f>SUM(F16:I16)</f>
        <v>0</v>
      </c>
    </row>
    <row r="17" spans="1:13">
      <c r="B17" s="94"/>
      <c r="C17" s="158"/>
      <c r="D17" s="159"/>
      <c r="E17" s="102"/>
      <c r="F17" s="7"/>
      <c r="G17" s="7"/>
      <c r="H17" s="7"/>
      <c r="I17" s="8"/>
      <c r="J17" s="9">
        <f>SUM(F17:I17)</f>
        <v>0</v>
      </c>
    </row>
    <row r="18" spans="1:13">
      <c r="A18" s="2"/>
      <c r="B18" s="94"/>
      <c r="C18" s="158"/>
      <c r="D18" s="159"/>
      <c r="E18" s="102"/>
      <c r="F18" s="7"/>
      <c r="G18" s="7"/>
      <c r="H18" s="7"/>
      <c r="I18" s="8"/>
      <c r="J18" s="9">
        <f t="shared" si="0"/>
        <v>0</v>
      </c>
    </row>
    <row r="19" spans="1:13">
      <c r="A19" s="2"/>
      <c r="B19" s="94"/>
      <c r="C19" s="158"/>
      <c r="D19" s="159"/>
      <c r="E19" s="102"/>
      <c r="F19" s="7"/>
      <c r="G19" s="7"/>
      <c r="H19" s="7"/>
      <c r="I19" s="8"/>
      <c r="J19" s="9">
        <f t="shared" si="0"/>
        <v>0</v>
      </c>
    </row>
    <row r="20" spans="1:13">
      <c r="A20" s="2"/>
      <c r="B20" s="94"/>
      <c r="C20" s="158"/>
      <c r="D20" s="159"/>
      <c r="E20" s="102"/>
      <c r="F20" s="7"/>
      <c r="G20" s="7"/>
      <c r="H20" s="7"/>
      <c r="I20" s="8"/>
      <c r="J20" s="9">
        <f t="shared" si="0"/>
        <v>0</v>
      </c>
    </row>
    <row r="21" spans="1:13">
      <c r="A21" s="2"/>
      <c r="B21" s="94"/>
      <c r="C21" s="158"/>
      <c r="D21" s="159"/>
      <c r="E21" s="102"/>
      <c r="F21" s="7"/>
      <c r="G21" s="7"/>
      <c r="H21" s="7"/>
      <c r="I21" s="8"/>
      <c r="J21" s="9">
        <f t="shared" si="0"/>
        <v>0</v>
      </c>
    </row>
    <row r="22" spans="1:13">
      <c r="A22" s="2"/>
      <c r="B22" s="94"/>
      <c r="C22" s="158"/>
      <c r="D22" s="159"/>
      <c r="E22" s="102"/>
      <c r="F22" s="7"/>
      <c r="G22" s="7"/>
      <c r="H22" s="7"/>
      <c r="I22" s="8"/>
      <c r="J22" s="9">
        <f t="shared" si="0"/>
        <v>0</v>
      </c>
    </row>
    <row r="23" spans="1:13">
      <c r="A23" s="2"/>
      <c r="B23" s="94"/>
      <c r="C23" s="158"/>
      <c r="D23" s="159"/>
      <c r="E23" s="102"/>
      <c r="F23" s="7"/>
      <c r="G23" s="7"/>
      <c r="H23" s="7"/>
      <c r="I23" s="8"/>
      <c r="J23" s="9">
        <f t="shared" si="0"/>
        <v>0</v>
      </c>
    </row>
    <row r="24" spans="1:13">
      <c r="A24" s="2"/>
      <c r="B24" s="94"/>
      <c r="C24" s="158"/>
      <c r="D24" s="159"/>
      <c r="E24" s="102"/>
      <c r="F24" s="7"/>
      <c r="G24" s="7"/>
      <c r="H24" s="7"/>
      <c r="I24" s="8"/>
      <c r="J24" s="9">
        <f t="shared" si="0"/>
        <v>0</v>
      </c>
    </row>
    <row r="25" spans="1:13">
      <c r="A25" s="2"/>
      <c r="B25" s="94"/>
      <c r="C25" s="158"/>
      <c r="D25" s="159"/>
      <c r="E25" s="102"/>
      <c r="F25" s="7"/>
      <c r="G25" s="7"/>
      <c r="H25" s="7"/>
      <c r="I25" s="8"/>
      <c r="J25" s="9">
        <f t="shared" si="0"/>
        <v>0</v>
      </c>
    </row>
    <row r="26" spans="1:13">
      <c r="A26" s="2"/>
      <c r="B26" s="94"/>
      <c r="C26" s="158"/>
      <c r="D26" s="159"/>
      <c r="E26" s="102"/>
      <c r="F26" s="7"/>
      <c r="G26" s="7"/>
      <c r="H26" s="7"/>
      <c r="I26" s="8"/>
      <c r="J26" s="9">
        <f t="shared" si="0"/>
        <v>0</v>
      </c>
    </row>
    <row r="27" spans="1:13">
      <c r="A27" s="2"/>
      <c r="B27" s="94"/>
      <c r="C27" s="158"/>
      <c r="D27" s="159"/>
      <c r="E27" s="102"/>
      <c r="F27" s="7"/>
      <c r="G27" s="7"/>
      <c r="H27" s="7"/>
      <c r="I27" s="8"/>
      <c r="J27" s="9">
        <f t="shared" si="0"/>
        <v>0</v>
      </c>
    </row>
    <row r="28" spans="1:13">
      <c r="A28" s="2"/>
      <c r="B28" s="94"/>
      <c r="C28" s="158"/>
      <c r="D28" s="159"/>
      <c r="E28" s="102"/>
      <c r="F28" s="7"/>
      <c r="G28" s="7"/>
      <c r="H28" s="7"/>
      <c r="I28" s="8"/>
      <c r="J28" s="9">
        <f t="shared" si="0"/>
        <v>0</v>
      </c>
    </row>
    <row r="29" spans="1:13">
      <c r="A29" s="2"/>
      <c r="B29" s="94"/>
      <c r="C29" s="158"/>
      <c r="D29" s="159"/>
      <c r="E29" s="102"/>
      <c r="F29" s="7"/>
      <c r="G29" s="7"/>
      <c r="H29" s="7"/>
      <c r="I29" s="8"/>
      <c r="J29" s="9">
        <f t="shared" si="0"/>
        <v>0</v>
      </c>
    </row>
    <row r="30" spans="1:13" ht="13.5" thickBot="1">
      <c r="A30" s="2"/>
      <c r="B30" s="94"/>
      <c r="C30" s="158"/>
      <c r="D30" s="159"/>
      <c r="E30" s="102"/>
      <c r="F30" s="7"/>
      <c r="G30" s="7"/>
      <c r="H30" s="7"/>
      <c r="I30" s="8"/>
      <c r="J30" s="9">
        <f t="shared" si="0"/>
        <v>0</v>
      </c>
    </row>
    <row r="31" spans="1:13" s="4" customFormat="1" ht="12.5" thickBot="1">
      <c r="B31" s="55"/>
      <c r="C31" s="55"/>
      <c r="D31" s="56"/>
      <c r="E31" s="56"/>
      <c r="F31" s="146"/>
      <c r="G31" s="147"/>
      <c r="H31" s="142" t="s">
        <v>6</v>
      </c>
      <c r="I31" s="143"/>
      <c r="J31" s="46">
        <f>SUM(J11:J30)</f>
        <v>14830</v>
      </c>
      <c r="K31" s="47"/>
      <c r="L31" s="47"/>
      <c r="M31" s="48"/>
    </row>
    <row r="32" spans="1:13" s="2" customFormat="1" ht="13.5" thickBot="1">
      <c r="B32" s="10" t="s">
        <v>8</v>
      </c>
      <c r="C32" s="57"/>
      <c r="D32" s="57"/>
      <c r="F32" s="148"/>
      <c r="G32" s="148"/>
      <c r="H32" s="144" t="s">
        <v>7</v>
      </c>
      <c r="I32" s="145"/>
      <c r="J32" s="54">
        <f>J31-ROUNDDOWN(J31*10/110,0)</f>
        <v>13482</v>
      </c>
      <c r="K32" s="63"/>
      <c r="L32" s="63"/>
      <c r="M32" s="64"/>
    </row>
    <row r="33" spans="1:10" s="58" customFormat="1" ht="8" thickBot="1"/>
    <row r="34" spans="1:10" s="4" customFormat="1">
      <c r="A34" s="2"/>
      <c r="B34" s="92" t="s">
        <v>11</v>
      </c>
      <c r="C34" s="44"/>
      <c r="D34" s="45"/>
      <c r="E34" s="44"/>
      <c r="F34" s="45"/>
      <c r="G34" s="45"/>
      <c r="H34" s="45"/>
      <c r="I34" s="45"/>
      <c r="J34" s="6"/>
    </row>
    <row r="35" spans="1:10" s="4" customFormat="1">
      <c r="A35" s="2"/>
      <c r="B35" s="12"/>
      <c r="C35" s="13"/>
      <c r="F35" s="13"/>
      <c r="G35" s="13"/>
      <c r="H35" s="13"/>
      <c r="I35" s="13"/>
      <c r="J35" s="14"/>
    </row>
    <row r="36" spans="1:10" s="4" customFormat="1">
      <c r="A36" s="2"/>
      <c r="B36" s="12"/>
      <c r="C36" s="13"/>
      <c r="F36" s="13"/>
      <c r="G36" s="13"/>
      <c r="H36" s="13"/>
      <c r="I36" s="13"/>
      <c r="J36" s="14"/>
    </row>
    <row r="37" spans="1:10" s="4" customFormat="1">
      <c r="A37" s="2"/>
      <c r="B37" s="15"/>
      <c r="C37" s="19"/>
      <c r="F37" s="16"/>
      <c r="G37" s="16"/>
      <c r="H37" s="16"/>
      <c r="I37" s="16"/>
      <c r="J37" s="17"/>
    </row>
    <row r="38" spans="1:10" s="4" customFormat="1">
      <c r="A38" s="2"/>
      <c r="B38" s="15"/>
      <c r="C38" s="19"/>
      <c r="F38" s="16"/>
      <c r="G38" s="16"/>
      <c r="H38" s="16"/>
      <c r="I38" s="16"/>
      <c r="J38" s="17"/>
    </row>
    <row r="39" spans="1:10" s="4" customFormat="1">
      <c r="A39" s="2"/>
      <c r="B39" s="15"/>
      <c r="C39" s="19"/>
      <c r="F39" s="16"/>
      <c r="G39" s="16"/>
      <c r="H39" s="16"/>
      <c r="I39" s="16"/>
      <c r="J39" s="17"/>
    </row>
    <row r="40" spans="1:10" s="4" customFormat="1">
      <c r="A40" s="2"/>
      <c r="B40" s="15"/>
      <c r="C40" s="19"/>
      <c r="F40" s="16"/>
      <c r="G40" s="16"/>
      <c r="H40" s="16"/>
      <c r="I40" s="16"/>
      <c r="J40" s="17"/>
    </row>
    <row r="41" spans="1:10" s="4" customFormat="1">
      <c r="A41" s="2"/>
      <c r="B41" s="15"/>
      <c r="C41" s="19"/>
      <c r="F41" s="16"/>
      <c r="G41" s="16"/>
      <c r="H41" s="16"/>
      <c r="I41" s="16"/>
      <c r="J41" s="17"/>
    </row>
    <row r="42" spans="1:10" s="4" customFormat="1">
      <c r="A42" s="2"/>
      <c r="B42" s="15"/>
      <c r="C42" s="19"/>
      <c r="F42" s="16"/>
      <c r="G42" s="16"/>
      <c r="H42" s="16"/>
      <c r="I42" s="16"/>
      <c r="J42" s="17"/>
    </row>
    <row r="43" spans="1:10" s="4" customFormat="1">
      <c r="A43" s="2"/>
      <c r="B43" s="15"/>
      <c r="C43" s="19"/>
      <c r="F43" s="16"/>
      <c r="G43" s="16"/>
      <c r="H43" s="16"/>
      <c r="I43" s="16"/>
      <c r="J43" s="17"/>
    </row>
    <row r="44" spans="1:10" s="4" customFormat="1">
      <c r="A44" s="2"/>
      <c r="B44" s="15"/>
      <c r="C44" s="19"/>
      <c r="F44" s="16"/>
      <c r="G44" s="16"/>
      <c r="H44" s="16"/>
      <c r="I44" s="16"/>
      <c r="J44" s="17"/>
    </row>
    <row r="45" spans="1:10" s="4" customFormat="1">
      <c r="A45" s="2"/>
      <c r="B45" s="15"/>
      <c r="C45" s="19"/>
      <c r="F45" s="16"/>
      <c r="G45" s="16"/>
      <c r="H45" s="16"/>
      <c r="I45" s="16"/>
      <c r="J45" s="17"/>
    </row>
    <row r="46" spans="1:10" s="4" customFormat="1">
      <c r="A46" s="2"/>
      <c r="B46" s="15"/>
      <c r="C46" s="19"/>
      <c r="F46" s="16"/>
      <c r="G46" s="16"/>
      <c r="H46" s="16"/>
      <c r="I46" s="16"/>
      <c r="J46" s="17"/>
    </row>
    <row r="47" spans="1:10" s="4" customFormat="1">
      <c r="A47" s="2"/>
      <c r="B47" s="15"/>
      <c r="C47" s="19"/>
      <c r="F47" s="16"/>
      <c r="G47" s="16"/>
      <c r="H47" s="16"/>
      <c r="I47" s="16"/>
      <c r="J47" s="17"/>
    </row>
    <row r="48" spans="1:10" s="11" customFormat="1" ht="13.5" thickBot="1">
      <c r="A48" s="2"/>
      <c r="B48" s="51"/>
      <c r="C48" s="52"/>
      <c r="D48" s="52"/>
      <c r="E48" s="52"/>
      <c r="F48" s="52"/>
      <c r="G48" s="52"/>
      <c r="H48" s="52"/>
      <c r="I48" s="52"/>
      <c r="J48" s="53"/>
    </row>
    <row r="49" spans="1:12" s="58" customFormat="1" ht="7.5"/>
    <row r="50" spans="1:12" s="39" customFormat="1" ht="12">
      <c r="B50" s="93" t="s">
        <v>17</v>
      </c>
      <c r="C50" s="42"/>
    </row>
    <row r="51" spans="1:12" s="39" customFormat="1" ht="12">
      <c r="B51" s="18" t="s">
        <v>20</v>
      </c>
      <c r="C51" s="40"/>
    </row>
    <row r="52" spans="1:12" s="39" customFormat="1" ht="12">
      <c r="B52" s="18" t="s">
        <v>26</v>
      </c>
      <c r="C52" s="40"/>
      <c r="L52" s="41"/>
    </row>
    <row r="53" spans="1:12" s="39" customFormat="1" ht="12">
      <c r="B53" s="18" t="s">
        <v>23</v>
      </c>
      <c r="C53" s="40"/>
    </row>
    <row r="54" spans="1:12" s="58" customFormat="1" ht="7.5">
      <c r="B54" s="61"/>
      <c r="C54" s="61"/>
    </row>
    <row r="55" spans="1:12" s="58" customFormat="1" ht="7.5">
      <c r="B55" s="59"/>
      <c r="C55" s="59"/>
      <c r="D55" s="60"/>
      <c r="E55" s="60"/>
      <c r="F55" s="60"/>
      <c r="G55" s="60"/>
      <c r="H55" s="60"/>
      <c r="I55" s="60"/>
      <c r="J55" s="60"/>
    </row>
    <row r="56" spans="1:12" s="4" customFormat="1" ht="12">
      <c r="B56" s="18" t="s">
        <v>28</v>
      </c>
      <c r="C56" s="18"/>
    </row>
    <row r="57" spans="1:12" s="4" customFormat="1" ht="15" customHeight="1">
      <c r="A57" s="3"/>
      <c r="B57" s="18"/>
      <c r="C57" s="31"/>
      <c r="D57" s="31"/>
      <c r="G57" s="96"/>
      <c r="H57" s="97"/>
      <c r="I57" s="30" t="s">
        <v>22</v>
      </c>
      <c r="J57" s="30" t="s">
        <v>22</v>
      </c>
    </row>
    <row r="58" spans="1:12" s="11" customFormat="1" ht="7.5" customHeight="1">
      <c r="B58" s="27"/>
      <c r="C58" s="27"/>
      <c r="H58" s="98"/>
      <c r="I58" s="28"/>
      <c r="J58" s="28"/>
    </row>
    <row r="59" spans="1:12" s="4" customFormat="1" ht="15" customHeight="1">
      <c r="B59" s="99" t="s">
        <v>19</v>
      </c>
      <c r="C59" s="66"/>
      <c r="D59" s="67"/>
      <c r="E59" s="68"/>
      <c r="H59" s="70"/>
      <c r="I59" s="29"/>
      <c r="J59" s="29"/>
    </row>
    <row r="60" spans="1:12" s="4" customFormat="1" ht="15" customHeight="1">
      <c r="B60" s="75"/>
      <c r="C60" s="69"/>
      <c r="E60" s="70"/>
      <c r="H60" s="70"/>
      <c r="I60" s="29"/>
      <c r="J60" s="29"/>
    </row>
    <row r="61" spans="1:12" s="4" customFormat="1" ht="15" customHeight="1">
      <c r="B61" s="18"/>
      <c r="C61" s="71"/>
      <c r="D61" s="65"/>
      <c r="E61" s="72"/>
      <c r="H61" s="70"/>
      <c r="I61" s="95"/>
      <c r="J61" s="95"/>
    </row>
    <row r="62" spans="1:12" s="11" customFormat="1" ht="15" customHeight="1">
      <c r="B62" s="27"/>
      <c r="C62" s="27"/>
      <c r="J62" s="73"/>
    </row>
  </sheetData>
  <mergeCells count="27">
    <mergeCell ref="B2:C2"/>
    <mergeCell ref="B3:J3"/>
    <mergeCell ref="F5:I5"/>
    <mergeCell ref="C9:D9"/>
    <mergeCell ref="C10:D10"/>
    <mergeCell ref="B4:J4"/>
    <mergeCell ref="C25:D25"/>
    <mergeCell ref="C26:D26"/>
    <mergeCell ref="C27:D27"/>
    <mergeCell ref="C28:D28"/>
    <mergeCell ref="C21:D21"/>
    <mergeCell ref="C22:D22"/>
    <mergeCell ref="C23:D23"/>
    <mergeCell ref="H31:I31"/>
    <mergeCell ref="H32:I32"/>
    <mergeCell ref="F31:G31"/>
    <mergeCell ref="F32:G32"/>
    <mergeCell ref="C29:D29"/>
    <mergeCell ref="C30:D30"/>
    <mergeCell ref="C11:D11"/>
    <mergeCell ref="C24:D24"/>
    <mergeCell ref="C17:D17"/>
    <mergeCell ref="C18:D18"/>
    <mergeCell ref="C19:D19"/>
    <mergeCell ref="C20:D20"/>
    <mergeCell ref="C14:D14"/>
    <mergeCell ref="C16:D16"/>
  </mergeCells>
  <phoneticPr fontId="2"/>
  <printOptions horizontalCentered="1"/>
  <pageMargins left="0.55118110236220474" right="0.31496062992125984" top="0.55118110236220474" bottom="0.43" header="0.39370078740157483" footer="0.21"/>
  <pageSetup paperSize="9" scale="96" orientation="portrait" r:id="rId1"/>
  <headerFooter alignWithMargins="0">
    <oddFooter>&amp;R&amp;P/&amp;N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国内旅費交通費等清算書ﾌｫｰﾑ</vt:lpstr>
      <vt:lpstr>国内旅費交通費等清算書【記入例】</vt:lpstr>
      <vt:lpstr>国内旅費交通費等清算書【記入例】!Print_Area</vt:lpstr>
      <vt:lpstr>国内旅費交通費等清算書ﾌｫｰﾑ!Print_Area</vt:lpstr>
    </vt:vector>
  </TitlesOfParts>
  <Company>wain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</dc:creator>
  <cp:lastModifiedBy>翔平 佐々木</cp:lastModifiedBy>
  <cp:lastPrinted>2024-03-29T04:38:17Z</cp:lastPrinted>
  <dcterms:created xsi:type="dcterms:W3CDTF">2007-06-18T04:56:31Z</dcterms:created>
  <dcterms:modified xsi:type="dcterms:W3CDTF">2026-04-03T00:30:15Z</dcterms:modified>
</cp:coreProperties>
</file>